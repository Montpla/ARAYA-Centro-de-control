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bak-my.sharepoint.com/personal/a_villalona_grupobak_com/Documents/Desktop/GESTION ANTONELY/ARAYA PUNTA CANA/INFORMES/2026/JUNIO 2026/"/>
    </mc:Choice>
  </mc:AlternateContent>
  <xr:revisionPtr revIDLastSave="174" documentId="8_{F05C3BDF-0098-46F1-90C8-0F3E2A45AAE3}" xr6:coauthVersionLast="47" xr6:coauthVersionMax="47" xr10:uidLastSave="{2615B429-843D-42FA-A3CF-65769C96C89B}"/>
  <bookViews>
    <workbookView xWindow="28692" yWindow="-108" windowWidth="21816" windowHeight="12996" tabRatio="841" activeTab="3" xr2:uid="{2533A228-FA9C-4E27-B297-8319F81E71AE}"/>
  </bookViews>
  <sheets>
    <sheet name="Costos acumulados a Jun-26" sheetId="2" r:id="rId1"/>
    <sheet name="Cuentas por Pagar Jun-26" sheetId="8" r:id="rId2"/>
    <sheet name="Anticipos al 06-26" sheetId="1" r:id="rId3"/>
    <sheet name="BCE-06-26" sheetId="9" r:id="rId4"/>
  </sheets>
  <definedNames>
    <definedName name="_xlnm._FilterDatabase" localSheetId="2" hidden="1">'Anticipos al 06-26'!$A$1:$G$1</definedName>
    <definedName name="A_impresión_IM">#REF!</definedName>
    <definedName name="ANTONE1">#REF!</definedName>
    <definedName name="Calidad">#REF!</definedName>
    <definedName name="CD">#REF!</definedName>
    <definedName name="CDU">#REF!</definedName>
    <definedName name="CDV">#REF!</definedName>
    <definedName name="cesantia">#REF!</definedName>
    <definedName name="COMPANIA">#REF!</definedName>
    <definedName name="DD">#REF!</definedName>
    <definedName name="DDT">#REF!</definedName>
    <definedName name="desperdicio">#REF!</definedName>
    <definedName name="FECHA">#REF!</definedName>
    <definedName name="FlujoBanco">#REF!</definedName>
    <definedName name="formula">#REF!</definedName>
    <definedName name="formula1">#REF!</definedName>
    <definedName name="formula2">#REF!</definedName>
    <definedName name="_xlnm.Recorder">#REF!</definedName>
    <definedName name="herramientas">#REF!</definedName>
    <definedName name="idss">#REF!</definedName>
    <definedName name="INICIO">#REF!</definedName>
    <definedName name="itebis">#REF!</definedName>
    <definedName name="MmExcelLinker_B10F4F3A_688F_4097_8347_A703957170B8">DESGLOSE #REF!</definedName>
    <definedName name="MmExcelLinker_D2E69CB0_417E_47FC_9054_C3A7FE3E45A0">CONDOMINIO #REF!</definedName>
    <definedName name="nn">#REF!</definedName>
    <definedName name="NO">#REF!</definedName>
    <definedName name="OBRA">#REF!</definedName>
    <definedName name="PARTIDABASE">#REF!</definedName>
    <definedName name="pensiones">#REF!</definedName>
    <definedName name="preaviso">#REF!</definedName>
    <definedName name="PROPIETARIO">#REF!</definedName>
    <definedName name="regalia">#REF!</definedName>
    <definedName name="RIF">#REF!</definedName>
    <definedName name="t.c.">#REF!</definedName>
    <definedName name="tasa">#REF!</definedName>
    <definedName name="TITULO">#REF!</definedName>
    <definedName name="TITULOPROPIETARIO">#REF!</definedName>
    <definedName name="totaladministracion">#REF!</definedName>
    <definedName name="totalgastosmedicos">#REF!</definedName>
    <definedName name="totalgeneral">#REF!</definedName>
    <definedName name="totalhhdirecta">#REF!</definedName>
    <definedName name="totalhhindirecta">#REF!</definedName>
    <definedName name="totalnominadirecta">#REF!</definedName>
    <definedName name="totalnominaindirecta">#REF!</definedName>
    <definedName name="totalseguridad">#REF!</definedName>
    <definedName name="totalutilidad">#REF!</definedName>
    <definedName name="transporte">#REF!</definedName>
    <definedName name="Unit_Type_D">#REF!</definedName>
    <definedName name="X">#REF!</definedName>
    <definedName name="yucatan">#REF!</definedName>
    <definedName name="yucatan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B36" i="2"/>
  <c r="C9" i="2"/>
  <c r="C36" i="2" s="1"/>
  <c r="C17" i="9" l="1"/>
  <c r="C20" i="9"/>
  <c r="C26" i="9"/>
  <c r="C27" i="9" s="1"/>
  <c r="C46" i="9"/>
  <c r="C50" i="9" s="1"/>
  <c r="C49" i="9"/>
  <c r="C58" i="9"/>
  <c r="D9" i="2"/>
  <c r="D36" i="2" s="1"/>
  <c r="E26" i="8"/>
  <c r="F26" i="8"/>
  <c r="G26" i="8"/>
  <c r="H26" i="8"/>
  <c r="I26" i="8"/>
  <c r="J26" i="8"/>
  <c r="J149" i="8" s="1"/>
  <c r="K26" i="8"/>
  <c r="L26" i="8"/>
  <c r="E30" i="8"/>
  <c r="F30" i="8"/>
  <c r="G30" i="8"/>
  <c r="H30" i="8"/>
  <c r="I30" i="8"/>
  <c r="J30" i="8"/>
  <c r="L30" i="8"/>
  <c r="E80" i="8"/>
  <c r="F80" i="8"/>
  <c r="G80" i="8"/>
  <c r="H80" i="8"/>
  <c r="I80" i="8"/>
  <c r="J80" i="8"/>
  <c r="K80" i="8"/>
  <c r="L80" i="8"/>
  <c r="E84" i="8"/>
  <c r="F84" i="8"/>
  <c r="G84" i="8"/>
  <c r="H84" i="8"/>
  <c r="I84" i="8"/>
  <c r="J84" i="8"/>
  <c r="L84" i="8"/>
  <c r="E88" i="8"/>
  <c r="F88" i="8"/>
  <c r="G88" i="8"/>
  <c r="H88" i="8"/>
  <c r="I88" i="8"/>
  <c r="J88" i="8"/>
  <c r="L88" i="8"/>
  <c r="E98" i="8"/>
  <c r="F98" i="8"/>
  <c r="G98" i="8"/>
  <c r="G149" i="8" s="1"/>
  <c r="H98" i="8"/>
  <c r="I98" i="8"/>
  <c r="J98" i="8"/>
  <c r="L98" i="8"/>
  <c r="E106" i="8"/>
  <c r="F106" i="8"/>
  <c r="G106" i="8"/>
  <c r="H106" i="8"/>
  <c r="I106" i="8"/>
  <c r="I149" i="8" s="1"/>
  <c r="J106" i="8"/>
  <c r="L106" i="8"/>
  <c r="E110" i="8"/>
  <c r="F110" i="8"/>
  <c r="G110" i="8"/>
  <c r="H110" i="8"/>
  <c r="I110" i="8"/>
  <c r="J110" i="8"/>
  <c r="J151" i="8" s="1"/>
  <c r="L110" i="8"/>
  <c r="E114" i="8"/>
  <c r="F114" i="8"/>
  <c r="G114" i="8"/>
  <c r="H114" i="8"/>
  <c r="I114" i="8"/>
  <c r="J114" i="8"/>
  <c r="L114" i="8"/>
  <c r="E118" i="8"/>
  <c r="F118" i="8"/>
  <c r="G118" i="8"/>
  <c r="H118" i="8"/>
  <c r="I118" i="8"/>
  <c r="J118" i="8"/>
  <c r="L118" i="8"/>
  <c r="E125" i="8"/>
  <c r="F125" i="8"/>
  <c r="G125" i="8"/>
  <c r="H125" i="8"/>
  <c r="I125" i="8"/>
  <c r="J125" i="8"/>
  <c r="L125" i="8"/>
  <c r="E132" i="8"/>
  <c r="F132" i="8"/>
  <c r="G132" i="8"/>
  <c r="H132" i="8"/>
  <c r="I132" i="8"/>
  <c r="J132" i="8"/>
  <c r="L132" i="8"/>
  <c r="E137" i="8"/>
  <c r="F137" i="8"/>
  <c r="G137" i="8"/>
  <c r="H137" i="8"/>
  <c r="I137" i="8"/>
  <c r="J137" i="8"/>
  <c r="L137" i="8"/>
  <c r="E143" i="8"/>
  <c r="F143" i="8"/>
  <c r="G143" i="8"/>
  <c r="H143" i="8"/>
  <c r="I143" i="8"/>
  <c r="J143" i="8"/>
  <c r="L143" i="8"/>
  <c r="E147" i="8"/>
  <c r="F147" i="8"/>
  <c r="G147" i="8"/>
  <c r="H147" i="8"/>
  <c r="I147" i="8"/>
  <c r="J147" i="8"/>
  <c r="L147" i="8"/>
  <c r="C52" i="9" l="1"/>
  <c r="H149" i="8"/>
  <c r="I151" i="8"/>
  <c r="F151" i="8"/>
  <c r="E149" i="8"/>
  <c r="L149" i="8"/>
  <c r="K149" i="8"/>
  <c r="H151" i="8"/>
  <c r="G151" i="8"/>
  <c r="E151" i="8"/>
  <c r="F149" i="8"/>
  <c r="L151" i="8"/>
  <c r="K151" i="8"/>
  <c r="E6" i="1" l="1"/>
  <c r="E28" i="1" s="1"/>
  <c r="F28" i="1"/>
  <c r="D28" i="1"/>
</calcChain>
</file>

<file path=xl/sharedStrings.xml><?xml version="1.0" encoding="utf-8"?>
<sst xmlns="http://schemas.openxmlformats.org/spreadsheetml/2006/main" count="450" uniqueCount="338">
  <si>
    <t>ContactName</t>
  </si>
  <si>
    <t>Reference</t>
  </si>
  <si>
    <t>InvoiceDate</t>
  </si>
  <si>
    <t>Total</t>
  </si>
  <si>
    <t>InvoiceAmountDue</t>
  </si>
  <si>
    <t>Description</t>
  </si>
  <si>
    <t>TrackingOption2</t>
  </si>
  <si>
    <t>MINISTERIO DE LA VIVIENDA HABITAT Y EDIFICACIONES MIVHED</t>
  </si>
  <si>
    <t>Anticipo MIVED PO--366</t>
  </si>
  <si>
    <t>Anticipo MIVED PO--366 inspeccion</t>
  </si>
  <si>
    <t>AUXILIAR</t>
  </si>
  <si>
    <t>3-1-1 Permisos Legales y Preliminares</t>
  </si>
  <si>
    <t>CONSTRUCTORA FELIX CAMPOS SRL</t>
  </si>
  <si>
    <t>ANTICIPO 40%-SC--147</t>
  </si>
  <si>
    <t>ANTICIPO 40%-SC--147 Contract #SC--147. Trabajos de Movimiento de tierra NivelaciÃ³n y conformaciÃ³n de vialidad redoma y calle entrada-salida</t>
  </si>
  <si>
    <t>1-4-1 Urbanismo</t>
  </si>
  <si>
    <t>GRUPO ALUGAV SAS</t>
  </si>
  <si>
    <t>ANTICIPO--SC--144</t>
  </si>
  <si>
    <t>ANTICIPO--SC--144 Contract #SC--144. VIDRIO ALUMINIO CASETA DE VIGILANCIA</t>
  </si>
  <si>
    <t>ANTICIPO 40%-SC--146</t>
  </si>
  <si>
    <t>ANTICIPO 40%-SC--146 Contract #SC--146. Trabajos de Movimiento de tierra NivelaciÃ³n y conformaciÃ³n de Plataforma Edificios #70-#71-#72-#73</t>
  </si>
  <si>
    <t>INVERSIONES ROMUR SRL</t>
  </si>
  <si>
    <t>ANTICIPO SC--115</t>
  </si>
  <si>
    <t>Anticipo del 20% SC--115 para los trabajos de adecuaciÃ³n hidrosanitarias y vialidad en el Ã¡rea redoma y entrada principal. Etapa I del proyecto ARAYA</t>
  </si>
  <si>
    <t>FIDUCIARIA UNIVERSAL S A</t>
  </si>
  <si>
    <t>ANTICIPO PO--635</t>
  </si>
  <si>
    <t>Anticipo PO--635 Registro del addendum III</t>
  </si>
  <si>
    <t>ROCAENCA SRL</t>
  </si>
  <si>
    <t>ANTICIPO-PO--513</t>
  </si>
  <si>
    <t>ANTICIPO-PO--513 Purchase Order #PO--513. Ensayo de probetas (16-4-26)</t>
  </si>
  <si>
    <t>1-5-1 Edificaciones</t>
  </si>
  <si>
    <t>OZONO QUIMICOS Y ESPECIALIDADES SRL</t>
  </si>
  <si>
    <t>ANTICIPO PO--704</t>
  </si>
  <si>
    <t>ANTICIPO PO--704 Purchase Order #PO--704. Material PBA latex para Resane interno</t>
  </si>
  <si>
    <t>GERENCIA INMOBILIARIA PROACTIVA GERIPSA SRL</t>
  </si>
  <si>
    <t>ANTICIPO SC--118</t>
  </si>
  <si>
    <t>ANTICIPO SC--118 TRABAJOS S/T/C DE ESTRUCTURA CUBIERTA DE TECHO EDIFICACIONES #1-#6</t>
  </si>
  <si>
    <t>ANTICIPO-P0--556</t>
  </si>
  <si>
    <t>ANTICIPO-P0--556 Purchase Order #PO--556. Productos para Acabado Resane</t>
  </si>
  <si>
    <t>TALLER INDUSTRIAL J NIVAR SRL</t>
  </si>
  <si>
    <t>ANTICIPO SC--114</t>
  </si>
  <si>
    <t>ANTICIPO-SC--114 Contract #SC--114. Colocacion de techo termopanel en el portal de entrada</t>
  </si>
  <si>
    <t>ANTICIPO SC--145</t>
  </si>
  <si>
    <t>ANTICIPO SC--145 Contract #SC--145. Suministro e instalaciÃ³n a todo costo de tijerillas soporte fascia portal entrada.</t>
  </si>
  <si>
    <t>ANTICIPO-PO--609</t>
  </si>
  <si>
    <t>ANTICIPO-PO--609 Purchase Order #PO--609. Ensayo de Probetas de Hormigon 5-16 de mayo de 2026</t>
  </si>
  <si>
    <t>ANTICIPO SC--132</t>
  </si>
  <si>
    <t>ANTICIPO SC--132 Contract #SC--132. CARPINTERIA DE VIDRIO Y ALUMINIO EDIF TIPO A</t>
  </si>
  <si>
    <t>TESORERIA NACIONAL</t>
  </si>
  <si>
    <t>ANTICIPO MIVED</t>
  </si>
  <si>
    <t>Pago para deposito de expediente en MIVED Araya. Pendiente registro en Procore</t>
  </si>
  <si>
    <t>DISTRITO MUNICIPAL TURISTICO VERON PUNTA CANA</t>
  </si>
  <si>
    <t>ANTICIPO PO--191</t>
  </si>
  <si>
    <t>ANTICIPO PO--191 SALDO PERMISO 77 EDIFICIOS</t>
  </si>
  <si>
    <t>LMCAD ESTUDIO DE ANIMACION SRL</t>
  </si>
  <si>
    <t>2-4-2 Inversion Inicial Promocion y Mercadeo</t>
  </si>
  <si>
    <t>MICARGO SRL</t>
  </si>
  <si>
    <t>ANTICIPO PO--528</t>
  </si>
  <si>
    <t>ANTICIPO PO--528 Purchase Order #PO--528. Tranasporte de paneles Isotex para Portal de Entrada</t>
  </si>
  <si>
    <t>HIDROPOZO SRL</t>
  </si>
  <si>
    <t>ANTICIPO HIDROPOZOS</t>
  </si>
  <si>
    <t>ANTICIPO COT 94 PRUEBA DE INFILTRACION Y BOMBEO ARAYA</t>
  </si>
  <si>
    <t>1-2-1 Diseno y Proyecto</t>
  </si>
  <si>
    <t>MULTISERVICIOS 24 SEVEN JM EIRL</t>
  </si>
  <si>
    <t>ANTICIPO PO--702</t>
  </si>
  <si>
    <t>ANTICIPO PO--702 Purchase Order #PO--702. Base de Arena para apoyo de tuberias Urbanismo</t>
  </si>
  <si>
    <t>PREVENTIONART J&amp;C SRL</t>
  </si>
  <si>
    <t>ANTICIPO SC--089</t>
  </si>
  <si>
    <t>ANTICIPO SC--089 Elaboracion y Diseno de Plan de Emergencia Seguridad Industrial del Proyecto</t>
  </si>
  <si>
    <t>DASS SRL</t>
  </si>
  <si>
    <t>ANTICIPO-PO--691</t>
  </si>
  <si>
    <t>ANTICIPO-PO--691 Purchase Order #PO--691. Tablilla o Enchape de fachada 7 Edificios</t>
  </si>
  <si>
    <t>RIOS &amp; ASOCIADOS ABOGADOS CONSULTORES S R L</t>
  </si>
  <si>
    <t>ANTICIPO RIOS</t>
  </si>
  <si>
    <t>Anticipo PO--137 Confotur Definitivo</t>
  </si>
  <si>
    <t>MADESOL SA</t>
  </si>
  <si>
    <t>ANTICIPO PO--707</t>
  </si>
  <si>
    <t>ANTICIPO PO--707 Purchase Order #PO--707. TABLONES PARA DIFERENTES USOS EN OBRA</t>
  </si>
  <si>
    <t>GRUPO SANIDOM SRL</t>
  </si>
  <si>
    <t>ANTICIPO PO--694</t>
  </si>
  <si>
    <t>ANTICIPO PO--694 Purchase Order #PO--694. FUMIGACION CIMIENTOS PLATEA #15</t>
  </si>
  <si>
    <t>SUPLEMENTOS INDUSTRIALES PUNTA CANA SRL</t>
  </si>
  <si>
    <t>ANTICIPO SC--116</t>
  </si>
  <si>
    <t>ANTICIPO SC--116 Fabricacion y montaje de Barandas, cubierta de techo y pÃ©rgolas EDIFICACIONES #3-#2</t>
  </si>
  <si>
    <t>FUSIONTECH SRL</t>
  </si>
  <si>
    <t>ANTICIPO-SC--143</t>
  </si>
  <si>
    <t>ANTICIPO-SC--143 Contract #SC--143. SUMINISTRO Y COLOCACION DE CAMARAS AREA CAMPAMENTO</t>
  </si>
  <si>
    <t>2-4-6 Materiales POP</t>
  </si>
  <si>
    <t>3-3-1 Interes Prestamo</t>
  </si>
  <si>
    <t>2-4-8 Programa de Referidos</t>
  </si>
  <si>
    <t>2-4-7 Feria y Eventos Publicitarios</t>
  </si>
  <si>
    <t>2-4-5 Vallas Publicitarias</t>
  </si>
  <si>
    <t>2-4-4 Community Management</t>
  </si>
  <si>
    <t>2-4-3 Medios Digitales (Campana y Redes Sociales)</t>
  </si>
  <si>
    <t>2-4-1 Apartamento Modelo (Equipamiento)/Show Room</t>
  </si>
  <si>
    <t>2-3-2 Debida Diligencia/Desvinculacion-Fiduciaria</t>
  </si>
  <si>
    <t>2-3-1 Adm General de la Fiduciaria (Estruc. Post y Prev. Adm. Garantia)</t>
  </si>
  <si>
    <t>2-2-4 Gastos Operativos Oficina de ventas</t>
  </si>
  <si>
    <t>2-2-3 Equipo de Trabajo Oficina de Ventas</t>
  </si>
  <si>
    <t>2-2-2 Administracion de la Venta</t>
  </si>
  <si>
    <t>2-2-1 Comisiones por Venta</t>
  </si>
  <si>
    <t>2-1-1 Gerencia de la Promotora</t>
  </si>
  <si>
    <t>1-9-1 Inspeccion Tecnica</t>
  </si>
  <si>
    <t>1-7-6 Campamento</t>
  </si>
  <si>
    <t>1-7-5 Poliza TRC</t>
  </si>
  <si>
    <t>1-7-4 Vigilancia</t>
  </si>
  <si>
    <t>1-7-3 Equipos y Transporte</t>
  </si>
  <si>
    <t>1-7-2 Gastos Operativos Generales</t>
  </si>
  <si>
    <t>1-7-1 Gastos Personal Administrativo de Obra</t>
  </si>
  <si>
    <t>1-6-1 Gerencia de Construccion</t>
  </si>
  <si>
    <t>1-1-1 Terreno</t>
  </si>
  <si>
    <t>Account</t>
  </si>
  <si>
    <t>For the period 1 June 2016 to 30 June 2026</t>
  </si>
  <si>
    <t>Fideicomiso Irrevocable de Desarrollo Inmobiliario y Administración Araya</t>
  </si>
  <si>
    <t>Account Transactions</t>
  </si>
  <si>
    <t>0.0167880 USD (United States Dollar)</t>
  </si>
  <si>
    <t>30 Jun 2026</t>
  </si>
  <si>
    <r>
      <rPr>
        <b/>
        <sz val="9"/>
        <color theme="1"/>
        <rFont val="Arial"/>
        <family val="2"/>
      </rPr>
      <t>[FX]</t>
    </r>
    <r>
      <rPr>
        <sz val="9"/>
        <color theme="1"/>
        <rFont val="Arial"/>
        <family val="2"/>
      </rPr>
      <t xml:space="preserve"> Exchange rates used to convert foreign currency into DOP are shown below. Rates are provided by XE.com unless otherwise stated.</t>
    </r>
  </si>
  <si>
    <t>Percentage of total</t>
  </si>
  <si>
    <t>Total  3-1-1 Permisos Legales y Preliminares</t>
  </si>
  <si>
    <t>B0100000108</t>
  </si>
  <si>
    <t>ONEIDA MARIA FRIAS PADILLA</t>
  </si>
  <si>
    <t>B0100000531</t>
  </si>
  <si>
    <t>ADIG CONSULTING SRL</t>
  </si>
  <si>
    <t>B0100001142</t>
  </si>
  <si>
    <t>OMG LEGAL SAS</t>
  </si>
  <si>
    <t xml:space="preserve"> 3-1-1 Permisos Legales y Preliminares</t>
  </si>
  <si>
    <t>Total  2-4-7 Feria y Eventos Publicitarios</t>
  </si>
  <si>
    <t>E310000000116</t>
  </si>
  <si>
    <t>ACERVO INMOBILIARIO SRL</t>
  </si>
  <si>
    <t>B0100043093</t>
  </si>
  <si>
    <t>KAHKOW SRL</t>
  </si>
  <si>
    <t xml:space="preserve"> 2-4-7 Feria y Eventos Publicitarios</t>
  </si>
  <si>
    <t>Total  2-4-5 Vallas Publicitarias</t>
  </si>
  <si>
    <t>E310000005301</t>
  </si>
  <si>
    <t>COLORIN S A</t>
  </si>
  <si>
    <t>B0100002567</t>
  </si>
  <si>
    <t>INMOBILIARIA PEREZ &amp; PINEDA SRL</t>
  </si>
  <si>
    <t>B0100002566</t>
  </si>
  <si>
    <t>E310000004239</t>
  </si>
  <si>
    <t>CARTEL SRL</t>
  </si>
  <si>
    <t xml:space="preserve"> 2-4-5 Vallas Publicitarias</t>
  </si>
  <si>
    <t>Total  2-4-4 Community Management</t>
  </si>
  <si>
    <t>B0100000071</t>
  </si>
  <si>
    <t>INMOSTRATEGIA SRL</t>
  </si>
  <si>
    <t>B0100000023</t>
  </si>
  <si>
    <t>GRUPO RAICES DIGITALES SRL</t>
  </si>
  <si>
    <t>E310000000179</t>
  </si>
  <si>
    <t>CANVAS DESIGN &amp; MEDIA GROUP SRL</t>
  </si>
  <si>
    <t>B0100000107</t>
  </si>
  <si>
    <t>JONATHAN JOHANSER DIAZ SOTO - LANARANJACONSULTING</t>
  </si>
  <si>
    <t xml:space="preserve"> 2-4-4 Community Management</t>
  </si>
  <si>
    <t>Total  2-4-3 Medios Digitales (Campana y Redes Sociales)</t>
  </si>
  <si>
    <t>REDES SOCIALES MAY-26</t>
  </si>
  <si>
    <t>REDES SOCIALES -FB-GOOGLE-</t>
  </si>
  <si>
    <t xml:space="preserve"> 2-4-3 Medios Digitales (Campana y Redes Sociales)</t>
  </si>
  <si>
    <t>Total  2-4-2 Inversion Inicial Promocion y Mercadeo</t>
  </si>
  <si>
    <t>[FX]</t>
  </si>
  <si>
    <t xml:space="preserve"> 2-4-2 Inversion Inicial Promocion y Mercadeo</t>
  </si>
  <si>
    <t>Total  2-2-4 Gastos Operativos Oficina de ventas</t>
  </si>
  <si>
    <t>B0100006080</t>
  </si>
  <si>
    <t>SEGURIDAD INVESTIGACIONES Y PROTECCION HISPANIOLA SRL</t>
  </si>
  <si>
    <t>B0100002968</t>
  </si>
  <si>
    <t>COSFREYCAM TROPICAL S A S</t>
  </si>
  <si>
    <t>B0100000426</t>
  </si>
  <si>
    <t>ENCOFRADOS VERSATEC SRL</t>
  </si>
  <si>
    <t>B0100000423</t>
  </si>
  <si>
    <t>B0100006021</t>
  </si>
  <si>
    <t xml:space="preserve"> 2-2-4 Gastos Operativos Oficina de ventas</t>
  </si>
  <si>
    <t>Total  2-2-1 Comisiones por Venta</t>
  </si>
  <si>
    <t>B0100000809</t>
  </si>
  <si>
    <t>COACHING 360 SRL REMAX</t>
  </si>
  <si>
    <t>B0100000038</t>
  </si>
  <si>
    <t>NAVIA REAL ESTATE SRL</t>
  </si>
  <si>
    <t>B0100001111</t>
  </si>
  <si>
    <t>KISWER INVESTMENTS SRL</t>
  </si>
  <si>
    <t>B0100000254</t>
  </si>
  <si>
    <t>PPCRE PARADISE PUNTA CANA REAL ESTATE SRL</t>
  </si>
  <si>
    <t>B0100000253</t>
  </si>
  <si>
    <t>E310000000102</t>
  </si>
  <si>
    <t>INVERSIONES SERACINI SRL</t>
  </si>
  <si>
    <t>B0100001086</t>
  </si>
  <si>
    <t xml:space="preserve"> 2-2-1 Comisiones por Venta</t>
  </si>
  <si>
    <t>Total  1-9-1 Inspeccion Tecnica</t>
  </si>
  <si>
    <t>E310000000007</t>
  </si>
  <si>
    <t>ING OMAR CORDERO &amp; ASOCIADOS SRL</t>
  </si>
  <si>
    <t xml:space="preserve"> 1-9-1 Inspeccion Tecnica</t>
  </si>
  <si>
    <t>Total  1-7-4 Vigilancia</t>
  </si>
  <si>
    <t>B0100006074</t>
  </si>
  <si>
    <t xml:space="preserve"> 1-7-4 Vigilancia</t>
  </si>
  <si>
    <t>Total  1-5-1 Edificaciones</t>
  </si>
  <si>
    <t>E310001390422</t>
  </si>
  <si>
    <t>BELLON SAS</t>
  </si>
  <si>
    <t>B0100005325</t>
  </si>
  <si>
    <t>CONTE DIRECTO INTERNACIONAL M A SRL</t>
  </si>
  <si>
    <t>E310000003525</t>
  </si>
  <si>
    <t>EMPRESA GALACTICA SRL</t>
  </si>
  <si>
    <t>E310000994496</t>
  </si>
  <si>
    <t>B0100000651</t>
  </si>
  <si>
    <t>TORRANCE DEVELOPMENT GROUP SRL</t>
  </si>
  <si>
    <t>E310000000004</t>
  </si>
  <si>
    <t>TECNICA MMHB SRL</t>
  </si>
  <si>
    <t>E310000017814</t>
  </si>
  <si>
    <t>RODFOR TEAM S R L</t>
  </si>
  <si>
    <t>E310000016534</t>
  </si>
  <si>
    <t>KINNOX S A</t>
  </si>
  <si>
    <t>E310000000645</t>
  </si>
  <si>
    <t>BLUE WAVE AGREGADOS SRL</t>
  </si>
  <si>
    <t>E310000000646</t>
  </si>
  <si>
    <t>E310000000038</t>
  </si>
  <si>
    <t>E310000992369</t>
  </si>
  <si>
    <t>E310000184761</t>
  </si>
  <si>
    <t>GERDAU METALDOM SA</t>
  </si>
  <si>
    <t>E310000991649</t>
  </si>
  <si>
    <t>B0100000214</t>
  </si>
  <si>
    <t>TYRVAL DOMINICANA SRL</t>
  </si>
  <si>
    <t>E310000039186</t>
  </si>
  <si>
    <t>IBEROCOMERCIAL DEL CARIBE S. A.</t>
  </si>
  <si>
    <t>E310000273514</t>
  </si>
  <si>
    <t>FERRETERIA DETALLISTA SA</t>
  </si>
  <si>
    <t>E310000000636</t>
  </si>
  <si>
    <t>E310000273508</t>
  </si>
  <si>
    <t>B0100000428</t>
  </si>
  <si>
    <t>B0100000427</t>
  </si>
  <si>
    <t>E310000989651</t>
  </si>
  <si>
    <t>B0100000424</t>
  </si>
  <si>
    <t>B0100000422</t>
  </si>
  <si>
    <t>E310000000622</t>
  </si>
  <si>
    <t>E310000000623</t>
  </si>
  <si>
    <t>E310000273441</t>
  </si>
  <si>
    <t>E310000987739</t>
  </si>
  <si>
    <t>E310000000604</t>
  </si>
  <si>
    <t>E310000000601</t>
  </si>
  <si>
    <t>B0100000213</t>
  </si>
  <si>
    <t>E310000273379</t>
  </si>
  <si>
    <t>E310000273381</t>
  </si>
  <si>
    <t>E310000373345</t>
  </si>
  <si>
    <t>E310000273292</t>
  </si>
  <si>
    <t>E310000013333</t>
  </si>
  <si>
    <t xml:space="preserve"> 1-5-1 Edificaciones</t>
  </si>
  <si>
    <t>E310000000003</t>
  </si>
  <si>
    <t>E310001390031</t>
  </si>
  <si>
    <t>E310001389213</t>
  </si>
  <si>
    <t>E310000026687</t>
  </si>
  <si>
    <t>SUPLIDORES ELECTRICOS DEL CARIBE SRL</t>
  </si>
  <si>
    <t>E310000991646</t>
  </si>
  <si>
    <t>E310000991806</t>
  </si>
  <si>
    <t>E310000000632</t>
  </si>
  <si>
    <t>E310000273450</t>
  </si>
  <si>
    <t>E310000273448</t>
  </si>
  <si>
    <t>E310000273424</t>
  </si>
  <si>
    <t>E310000000590</t>
  </si>
  <si>
    <t>Total  1-4-1 Urbanismo</t>
  </si>
  <si>
    <t>B0100000161</t>
  </si>
  <si>
    <t>B0100000113</t>
  </si>
  <si>
    <t>B0100000111</t>
  </si>
  <si>
    <t>E310000989869</t>
  </si>
  <si>
    <t>E310000989574</t>
  </si>
  <si>
    <t>B0100000004</t>
  </si>
  <si>
    <t>E310002285181</t>
  </si>
  <si>
    <t>ALMACENES UNIDOS SAS</t>
  </si>
  <si>
    <t xml:space="preserve"> 1-4-1 Urbanismo</t>
  </si>
  <si>
    <t>Older</t>
  </si>
  <si>
    <t>3 Months</t>
  </si>
  <si>
    <t>2 Months</t>
  </si>
  <si>
    <t>1 Month</t>
  </si>
  <si>
    <t>&lt; 1 Month</t>
  </si>
  <si>
    <t>Current</t>
  </si>
  <si>
    <t>Invoice Reference</t>
  </si>
  <si>
    <t>Due Date</t>
  </si>
  <si>
    <t>Invoice Date</t>
  </si>
  <si>
    <t>Contact</t>
  </si>
  <si>
    <t>Ageing by due date</t>
  </si>
  <si>
    <t>As at 30 June 2026</t>
  </si>
  <si>
    <t>Aged Payables Detail</t>
  </si>
  <si>
    <t>Total Equity</t>
  </si>
  <si>
    <t>Resultado del Ejercicio</t>
  </si>
  <si>
    <t>Current Year Earnings</t>
  </si>
  <si>
    <t>Aporte Fideicomitente AFI Universal</t>
  </si>
  <si>
    <t>Equity</t>
  </si>
  <si>
    <t>Net Assets</t>
  </si>
  <si>
    <t>Total Liabilities</t>
  </si>
  <si>
    <t>Total Non-current Liabilities</t>
  </si>
  <si>
    <t>Otros créditos - No corriente</t>
  </si>
  <si>
    <t>Non-current Liabilities</t>
  </si>
  <si>
    <t>Total Current Liabilities</t>
  </si>
  <si>
    <t>Rounding</t>
  </si>
  <si>
    <t>Retención ISR Personas Físicas 2%</t>
  </si>
  <si>
    <t>Retención ISR Personas Físicas 10%</t>
  </si>
  <si>
    <t>Retención ISR Exterior 27%</t>
  </si>
  <si>
    <t>Retención de Fiel Cumplimiento</t>
  </si>
  <si>
    <t>Retención de Derecho Laboral</t>
  </si>
  <si>
    <t>Retención 30% ITBIS Jurídica</t>
  </si>
  <si>
    <t>Retención 100% ITBIS. Personas Jurídicas</t>
  </si>
  <si>
    <t>Retención 100% ITBIS. Personas Físicas</t>
  </si>
  <si>
    <t>Otras Cuentas por Pagar Tecnica MMHB</t>
  </si>
  <si>
    <t>Fondo Rotatorio Tecnica MMHB</t>
  </si>
  <si>
    <t>Depósitos Diferidos de Clientes</t>
  </si>
  <si>
    <t>Cuentas por Pagar Comerciales</t>
  </si>
  <si>
    <t>Cuentas por Cobrar Compañía Relacionada USD</t>
  </si>
  <si>
    <t>Créditos en Instituciones Financieras</t>
  </si>
  <si>
    <t>Current Liabilities</t>
  </si>
  <si>
    <t>Liabilities</t>
  </si>
  <si>
    <t>Total Assets</t>
  </si>
  <si>
    <t>Total Non-current Assets</t>
  </si>
  <si>
    <t>Otros Costos</t>
  </si>
  <si>
    <t>Costos Operativos</t>
  </si>
  <si>
    <t>Costos de Construcción</t>
  </si>
  <si>
    <t>1% Impuesto Retenido a Intereses Norma 13-11</t>
  </si>
  <si>
    <t>Non-current Assets</t>
  </si>
  <si>
    <t>Total Current Assets</t>
  </si>
  <si>
    <t>Anticipos a Proveedores</t>
  </si>
  <si>
    <t>Current Assets</t>
  </si>
  <si>
    <t>Total Bank</t>
  </si>
  <si>
    <t>Popular Cta Corriente No. 845567809</t>
  </si>
  <si>
    <t>Popular Cta Ahorro No. 845567916</t>
  </si>
  <si>
    <t>Fondo de Inversión Abierto Universal Liquidez DOP</t>
  </si>
  <si>
    <t>Fondo de Inversión Abierto Plazo Mensual USD</t>
  </si>
  <si>
    <t>Banesco USD -Cta. Ahorro No.99200013780</t>
  </si>
  <si>
    <t>Banesco USA No. 1500192677</t>
  </si>
  <si>
    <t>Banesco DOP -Cta. Corriente No.99100010856</t>
  </si>
  <si>
    <t>Banco Alaver Cta de Ahorro en DOP</t>
  </si>
  <si>
    <t>Bank</t>
  </si>
  <si>
    <t>Assets</t>
  </si>
  <si>
    <t>Balance Sheet</t>
  </si>
  <si>
    <t>Total  Desistimientos por Pagar</t>
  </si>
  <si>
    <t>Desistimiento Unidad 27-202.</t>
  </si>
  <si>
    <t>NATASHA BERNAL</t>
  </si>
  <si>
    <t xml:space="preserve"> Desistimientos por Pagar</t>
  </si>
  <si>
    <t>Total  2-3-2 Debida Diligencia/Desvinculacion-Fiduciaria</t>
  </si>
  <si>
    <t>E310000001063</t>
  </si>
  <si>
    <t xml:space="preserve"> 2-3-2 Debida Diligencia/Desvinculacion-Fiduciaria</t>
  </si>
  <si>
    <t>Total   1-7 Indirectos de Obra</t>
  </si>
  <si>
    <t xml:space="preserve"> 1-7 Indirectos de Obra</t>
  </si>
  <si>
    <t>E310000989046</t>
  </si>
  <si>
    <t>Costos Acum May-26</t>
  </si>
  <si>
    <t>Costos Jun-26</t>
  </si>
  <si>
    <t>Costos Acum 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</si>
</sst>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;\(#,##0.00\)"/>
    <numFmt numFmtId="165" formatCode="dd\ mmm\ yy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/>
      <bottom style="thin">
        <color rgb="FF000000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43" fontId="1" fillId="0" borderId="0"/>
    <xf numFmtId="9" fontId="1" fillId="0" borderId="0"/>
  </cellStyleXfs>
  <cellXfs count="44">
    <xf numFmtId="0" fontId="0" fillId="0" borderId="0" xfId="0"/>
    <xf numFmtId="14" fontId="0" fillId="0" borderId="0" xfId="0" applyNumberFormat="1"/>
    <xf numFmtId="43" fontId="0" fillId="0" borderId="0" xfId="1" applyFont="1"/>
    <xf numFmtId="0" fontId="16" fillId="0" borderId="0" xfId="0" applyFont="1"/>
    <xf numFmtId="43" fontId="16" fillId="0" borderId="0" xfId="1" applyFont="1"/>
    <xf numFmtId="0" fontId="18" fillId="0" borderId="0" xfId="43"/>
    <xf numFmtId="0" fontId="19" fillId="6" borderId="10" xfId="43" applyFont="1" applyFill="1" applyBorder="1" applyAlignment="1">
      <alignment vertical="center"/>
    </xf>
    <xf numFmtId="164" fontId="19" fillId="6" borderId="10" xfId="43" applyNumberFormat="1" applyFont="1" applyFill="1" applyBorder="1" applyAlignment="1">
      <alignment horizontal="right" vertical="center"/>
    </xf>
    <xf numFmtId="0" fontId="18" fillId="0" borderId="11" xfId="43" applyBorder="1" applyAlignment="1">
      <alignment vertical="center"/>
    </xf>
    <xf numFmtId="164" fontId="18" fillId="0" borderId="11" xfId="43" applyNumberFormat="1" applyBorder="1" applyAlignment="1">
      <alignment horizontal="right" vertical="center"/>
    </xf>
    <xf numFmtId="0" fontId="20" fillId="0" borderId="0" xfId="43" applyFont="1"/>
    <xf numFmtId="0" fontId="21" fillId="0" borderId="12" xfId="43" applyFont="1" applyBorder="1" applyAlignment="1">
      <alignment horizontal="left" vertical="center"/>
    </xf>
    <xf numFmtId="0" fontId="22" fillId="0" borderId="0" xfId="43" applyFont="1"/>
    <xf numFmtId="0" fontId="22" fillId="0" borderId="0" xfId="43" applyFont="1" applyAlignment="1">
      <alignment vertical="center"/>
    </xf>
    <xf numFmtId="0" fontId="23" fillId="0" borderId="0" xfId="43" applyFont="1"/>
    <xf numFmtId="0" fontId="24" fillId="0" borderId="0" xfId="43" applyFont="1" applyAlignment="1">
      <alignment vertical="center"/>
    </xf>
    <xf numFmtId="0" fontId="23" fillId="0" borderId="0" xfId="44" applyFont="1"/>
    <xf numFmtId="0" fontId="22" fillId="0" borderId="0" xfId="44" applyFont="1"/>
    <xf numFmtId="0" fontId="18" fillId="0" borderId="0" xfId="44"/>
    <xf numFmtId="0" fontId="20" fillId="0" borderId="0" xfId="44" applyFont="1"/>
    <xf numFmtId="0" fontId="21" fillId="0" borderId="12" xfId="44" applyFont="1" applyBorder="1" applyAlignment="1">
      <alignment vertical="center"/>
    </xf>
    <xf numFmtId="0" fontId="18" fillId="0" borderId="11" xfId="44" applyBorder="1" applyAlignment="1">
      <alignment vertical="center"/>
    </xf>
    <xf numFmtId="0" fontId="19" fillId="6" borderId="10" xfId="44" applyFont="1" applyFill="1" applyBorder="1" applyAlignment="1">
      <alignment vertical="center"/>
    </xf>
    <xf numFmtId="0" fontId="18" fillId="0" borderId="0" xfId="44" applyAlignment="1">
      <alignment vertical="center"/>
    </xf>
    <xf numFmtId="43" fontId="18" fillId="0" borderId="0" xfId="1" applyFont="1"/>
    <xf numFmtId="164" fontId="25" fillId="0" borderId="11" xfId="47" applyNumberFormat="1" applyBorder="1" applyAlignment="1">
      <alignment horizontal="right" vertical="center"/>
    </xf>
    <xf numFmtId="164" fontId="25" fillId="0" borderId="0" xfId="47" applyNumberFormat="1" applyAlignment="1">
      <alignment horizontal="right" vertical="center"/>
    </xf>
    <xf numFmtId="10" fontId="19" fillId="6" borderId="10" xfId="44" applyNumberFormat="1" applyFont="1" applyFill="1" applyBorder="1" applyAlignment="1">
      <alignment horizontal="right" vertical="center"/>
    </xf>
    <xf numFmtId="164" fontId="19" fillId="6" borderId="10" xfId="44" applyNumberFormat="1" applyFont="1" applyFill="1" applyBorder="1" applyAlignment="1">
      <alignment horizontal="right" vertical="center"/>
    </xf>
    <xf numFmtId="164" fontId="19" fillId="0" borderId="11" xfId="44" applyNumberFormat="1" applyFont="1" applyBorder="1" applyAlignment="1">
      <alignment horizontal="right" vertical="center"/>
    </xf>
    <xf numFmtId="0" fontId="19" fillId="0" borderId="11" xfId="44" applyFont="1" applyBorder="1" applyAlignment="1">
      <alignment vertical="center"/>
    </xf>
    <xf numFmtId="164" fontId="18" fillId="0" borderId="0" xfId="44" applyNumberFormat="1" applyAlignment="1">
      <alignment horizontal="right" vertical="center"/>
    </xf>
    <xf numFmtId="165" fontId="18" fillId="0" borderId="0" xfId="44" applyNumberFormat="1" applyAlignment="1">
      <alignment horizontal="left" vertical="center"/>
    </xf>
    <xf numFmtId="164" fontId="18" fillId="0" borderId="11" xfId="44" applyNumberFormat="1" applyBorder="1" applyAlignment="1">
      <alignment horizontal="right" vertical="center"/>
    </xf>
    <xf numFmtId="165" fontId="18" fillId="0" borderId="11" xfId="44" applyNumberFormat="1" applyBorder="1" applyAlignment="1">
      <alignment horizontal="left" vertical="center"/>
    </xf>
    <xf numFmtId="0" fontId="21" fillId="0" borderId="12" xfId="44" applyFont="1" applyBorder="1" applyAlignment="1">
      <alignment horizontal="right" vertical="center"/>
    </xf>
    <xf numFmtId="0" fontId="21" fillId="0" borderId="12" xfId="44" applyFont="1" applyBorder="1" applyAlignment="1">
      <alignment horizontal="left" vertical="center"/>
    </xf>
    <xf numFmtId="0" fontId="22" fillId="0" borderId="0" xfId="44" applyFont="1" applyAlignment="1">
      <alignment vertical="center"/>
    </xf>
    <xf numFmtId="0" fontId="24" fillId="0" borderId="0" xfId="44" applyFont="1" applyAlignment="1">
      <alignment vertical="center"/>
    </xf>
    <xf numFmtId="0" fontId="18" fillId="0" borderId="0" xfId="44" applyAlignment="1">
      <alignment vertical="top"/>
    </xf>
    <xf numFmtId="0" fontId="19" fillId="0" borderId="0" xfId="44" applyFont="1" applyAlignment="1">
      <alignment vertical="top"/>
    </xf>
    <xf numFmtId="0" fontId="19" fillId="0" borderId="0" xfId="44" applyFont="1" applyAlignment="1">
      <alignment vertical="center"/>
    </xf>
    <xf numFmtId="164" fontId="18" fillId="0" borderId="0" xfId="43" applyNumberFormat="1"/>
    <xf numFmtId="39" fontId="18" fillId="0" borderId="0" xfId="44" applyNumberFormat="1"/>
  </cellXfs>
  <cellStyles count="51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9" xr:uid="{A3B6729D-35C0-4D2D-92FA-B58EA439B402}"/>
    <cellStyle name="Millares 3" xfId="45" xr:uid="{085D3025-901C-4A95-B065-1219FA14AC3E}"/>
    <cellStyle name="Neutral" xfId="9" builtinId="28" customBuiltin="1"/>
    <cellStyle name="Normal" xfId="0" builtinId="0"/>
    <cellStyle name="Normal 11 2" xfId="44" xr:uid="{8F3FF273-BF90-4A9F-B1E0-805372599A59}"/>
    <cellStyle name="Normal 2" xfId="43" xr:uid="{429335B4-F991-4883-825F-9934C0C1544F}"/>
    <cellStyle name="Normal 2 2" xfId="48" xr:uid="{4949A634-ADEF-41A1-8552-850CC9DC4440}"/>
    <cellStyle name="Normal 3" xfId="47" xr:uid="{16372BF6-2D54-4604-A0C2-E88BE865D821}"/>
    <cellStyle name="Normal 4" xfId="46" xr:uid="{DAC21730-B0EB-40C1-AD43-BF2E750D41E7}"/>
    <cellStyle name="Notas" xfId="16" builtinId="10" customBuiltin="1"/>
    <cellStyle name="Porcentaje 2" xfId="50" xr:uid="{D14EC4A6-DCA0-4AB8-9EC5-83E5D03CBA8D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15</xdr:row>
      <xdr:rowOff>53340</xdr:rowOff>
    </xdr:from>
    <xdr:to>
      <xdr:col>18</xdr:col>
      <xdr:colOff>76200</xdr:colOff>
      <xdr:row>50</xdr:row>
      <xdr:rowOff>99356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D701F8-AC66-2BA2-4065-3AC585FF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520" y="2362200"/>
          <a:ext cx="4427220" cy="4892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E70-E2FE-4AAD-81E2-770B48A2C1C4}">
  <dimension ref="A1:F38"/>
  <sheetViews>
    <sheetView showGridLines="0" topLeftCell="A4" zoomScaleNormal="100" workbookViewId="0">
      <selection activeCell="D11" sqref="D11:D16"/>
    </sheetView>
  </sheetViews>
  <sheetFormatPr baseColWidth="10" defaultColWidth="8" defaultRowHeight="11.4" x14ac:dyDescent="0.2"/>
  <cols>
    <col min="1" max="1" width="53.6640625" style="5" customWidth="1"/>
    <col min="2" max="2" width="21" style="5" customWidth="1"/>
    <col min="3" max="3" width="15.44140625" style="5" customWidth="1"/>
    <col min="4" max="4" width="19.21875" style="5" bestFit="1" customWidth="1"/>
    <col min="5" max="16384" width="8" style="5"/>
  </cols>
  <sheetData>
    <row r="1" spans="1:4" s="14" customFormat="1" ht="16.649999999999999" customHeight="1" x14ac:dyDescent="0.3">
      <c r="A1" s="15" t="s">
        <v>114</v>
      </c>
      <c r="B1" s="15"/>
      <c r="C1" s="15"/>
      <c r="D1" s="15"/>
    </row>
    <row r="2" spans="1:4" s="12" customFormat="1" ht="14.4" customHeight="1" x14ac:dyDescent="0.25">
      <c r="A2" s="13" t="s">
        <v>113</v>
      </c>
      <c r="B2" s="13"/>
      <c r="C2" s="13"/>
      <c r="D2" s="13"/>
    </row>
    <row r="3" spans="1:4" s="12" customFormat="1" ht="14.4" customHeight="1" x14ac:dyDescent="0.25">
      <c r="A3" s="13" t="s">
        <v>112</v>
      </c>
      <c r="B3" s="13"/>
      <c r="C3" s="13"/>
      <c r="D3" s="13"/>
    </row>
    <row r="4" spans="1:4" ht="13.35" customHeight="1" x14ac:dyDescent="0.2"/>
    <row r="5" spans="1:4" s="10" customFormat="1" ht="12.15" customHeight="1" x14ac:dyDescent="0.25">
      <c r="A5" s="11" t="s">
        <v>10</v>
      </c>
      <c r="B5" s="11" t="s">
        <v>335</v>
      </c>
      <c r="C5" s="11" t="s">
        <v>336</v>
      </c>
      <c r="D5" s="11" t="s">
        <v>337</v>
      </c>
    </row>
    <row r="6" spans="1:4" ht="10.95" customHeight="1" x14ac:dyDescent="0.2">
      <c r="A6" s="8" t="s">
        <v>110</v>
      </c>
      <c r="B6" s="9">
        <v>266773708.05000001</v>
      </c>
      <c r="D6" s="9">
        <v>266773708.05000001</v>
      </c>
    </row>
    <row r="7" spans="1:4" ht="10.95" customHeight="1" x14ac:dyDescent="0.2">
      <c r="A7" s="8" t="s">
        <v>62</v>
      </c>
      <c r="B7" s="9">
        <v>24159807.359999999</v>
      </c>
      <c r="D7" s="9">
        <v>24159807.359999999</v>
      </c>
    </row>
    <row r="8" spans="1:4" ht="10.95" customHeight="1" x14ac:dyDescent="0.2">
      <c r="A8" s="8" t="s">
        <v>15</v>
      </c>
      <c r="B8" s="9">
        <v>45301558.009999998</v>
      </c>
      <c r="C8" s="26">
        <v>5475884.7300000004</v>
      </c>
      <c r="D8" s="9">
        <v>50777442.740000002</v>
      </c>
    </row>
    <row r="9" spans="1:4" ht="10.95" customHeight="1" x14ac:dyDescent="0.2">
      <c r="A9" s="8" t="s">
        <v>30</v>
      </c>
      <c r="B9" s="9">
        <v>67665568.829999998</v>
      </c>
      <c r="C9" s="25">
        <f>23333676.71+15289</f>
        <v>23348965.710000001</v>
      </c>
      <c r="D9" s="9">
        <f>90999245.54+15289</f>
        <v>91014534.540000007</v>
      </c>
    </row>
    <row r="10" spans="1:4" ht="10.95" customHeight="1" x14ac:dyDescent="0.2">
      <c r="A10" s="8" t="s">
        <v>109</v>
      </c>
      <c r="B10" s="9">
        <v>37971390.020000003</v>
      </c>
      <c r="C10" s="25">
        <v>2275880.35</v>
      </c>
      <c r="D10" s="9">
        <v>40247270.369999997</v>
      </c>
    </row>
    <row r="11" spans="1:4" ht="10.95" customHeight="1" x14ac:dyDescent="0.2">
      <c r="A11" s="8" t="s">
        <v>108</v>
      </c>
      <c r="B11" s="9">
        <v>260750</v>
      </c>
      <c r="C11" s="25">
        <v>52150</v>
      </c>
      <c r="D11" s="9">
        <v>312900</v>
      </c>
    </row>
    <row r="12" spans="1:4" ht="10.95" customHeight="1" x14ac:dyDescent="0.2">
      <c r="A12" s="8" t="s">
        <v>107</v>
      </c>
      <c r="B12" s="9">
        <v>569970.93000000005</v>
      </c>
      <c r="C12" s="25">
        <v>54100.85</v>
      </c>
      <c r="D12" s="9">
        <v>624071.78</v>
      </c>
    </row>
    <row r="13" spans="1:4" ht="10.95" customHeight="1" x14ac:dyDescent="0.2">
      <c r="A13" s="8" t="s">
        <v>106</v>
      </c>
      <c r="B13" s="9">
        <v>3363369</v>
      </c>
      <c r="C13" s="25">
        <v>427200</v>
      </c>
      <c r="D13" s="9">
        <v>3790569</v>
      </c>
    </row>
    <row r="14" spans="1:4" ht="10.95" customHeight="1" x14ac:dyDescent="0.2">
      <c r="A14" s="8" t="s">
        <v>105</v>
      </c>
      <c r="B14" s="9">
        <v>1023673.6</v>
      </c>
      <c r="C14" s="25">
        <v>90246.399999999994</v>
      </c>
      <c r="D14" s="9">
        <v>1113920</v>
      </c>
    </row>
    <row r="15" spans="1:4" ht="10.95" customHeight="1" x14ac:dyDescent="0.2">
      <c r="A15" s="8" t="s">
        <v>104</v>
      </c>
      <c r="B15" s="9">
        <v>1387881.97</v>
      </c>
      <c r="C15" s="8"/>
      <c r="D15" s="9">
        <v>1387881.97</v>
      </c>
    </row>
    <row r="16" spans="1:4" ht="10.95" customHeight="1" x14ac:dyDescent="0.2">
      <c r="A16" s="8" t="s">
        <v>103</v>
      </c>
      <c r="B16" s="9">
        <v>964002.99</v>
      </c>
      <c r="C16" s="25">
        <v>101500</v>
      </c>
      <c r="D16" s="9">
        <v>1065502.99</v>
      </c>
    </row>
    <row r="17" spans="1:4" ht="10.95" customHeight="1" x14ac:dyDescent="0.2">
      <c r="A17" s="8" t="s">
        <v>102</v>
      </c>
      <c r="B17" s="9">
        <v>4562678.7</v>
      </c>
      <c r="C17" s="25">
        <v>506964.3</v>
      </c>
      <c r="D17" s="9">
        <v>5069643</v>
      </c>
    </row>
    <row r="18" spans="1:4" ht="10.95" customHeight="1" x14ac:dyDescent="0.2">
      <c r="A18" s="8" t="s">
        <v>101</v>
      </c>
      <c r="B18" s="9">
        <v>25052779.190000001</v>
      </c>
      <c r="C18" s="25">
        <v>1783003.6</v>
      </c>
      <c r="D18" s="9">
        <v>26835782.789999999</v>
      </c>
    </row>
    <row r="19" spans="1:4" ht="10.95" customHeight="1" x14ac:dyDescent="0.2">
      <c r="A19" s="8" t="s">
        <v>100</v>
      </c>
      <c r="B19" s="9">
        <v>79374170.459999993</v>
      </c>
      <c r="C19" s="25">
        <v>7031404.5199999996</v>
      </c>
      <c r="D19" s="9">
        <v>86405574.980000004</v>
      </c>
    </row>
    <row r="20" spans="1:4" ht="10.95" customHeight="1" x14ac:dyDescent="0.2">
      <c r="A20" s="8" t="s">
        <v>99</v>
      </c>
      <c r="B20" s="9">
        <v>10782128.460000001</v>
      </c>
      <c r="C20" s="25">
        <v>757185.94</v>
      </c>
      <c r="D20" s="9">
        <v>11539314.4</v>
      </c>
    </row>
    <row r="21" spans="1:4" ht="10.95" customHeight="1" x14ac:dyDescent="0.2">
      <c r="A21" s="8" t="s">
        <v>98</v>
      </c>
      <c r="B21" s="9">
        <v>16260806.859999999</v>
      </c>
      <c r="C21" s="25">
        <v>1598169.57</v>
      </c>
      <c r="D21" s="9">
        <v>17858976.43</v>
      </c>
    </row>
    <row r="22" spans="1:4" ht="10.95" customHeight="1" x14ac:dyDescent="0.2">
      <c r="A22" s="8" t="s">
        <v>97</v>
      </c>
      <c r="B22" s="9">
        <v>1312443.49</v>
      </c>
      <c r="C22" s="25">
        <v>132010.93</v>
      </c>
      <c r="D22" s="9">
        <v>1444454.42</v>
      </c>
    </row>
    <row r="23" spans="1:4" ht="10.95" customHeight="1" x14ac:dyDescent="0.2">
      <c r="A23" s="8" t="s">
        <v>96</v>
      </c>
      <c r="B23" s="9">
        <v>4247764.37</v>
      </c>
      <c r="C23" s="25">
        <v>774773.75</v>
      </c>
      <c r="D23" s="9">
        <v>5022538.12</v>
      </c>
    </row>
    <row r="24" spans="1:4" ht="10.95" customHeight="1" x14ac:dyDescent="0.2">
      <c r="A24" s="8" t="s">
        <v>95</v>
      </c>
      <c r="B24" s="9">
        <v>1666620.42</v>
      </c>
      <c r="C24" s="25">
        <v>293802.58</v>
      </c>
      <c r="D24" s="9">
        <v>1960423</v>
      </c>
    </row>
    <row r="25" spans="1:4" ht="10.95" customHeight="1" x14ac:dyDescent="0.2">
      <c r="A25" s="8" t="s">
        <v>94</v>
      </c>
      <c r="B25" s="9">
        <v>5143605.1900000004</v>
      </c>
      <c r="C25" s="8"/>
      <c r="D25" s="9">
        <v>5143605.1900000004</v>
      </c>
    </row>
    <row r="26" spans="1:4" ht="10.95" customHeight="1" x14ac:dyDescent="0.2">
      <c r="A26" s="8" t="s">
        <v>55</v>
      </c>
      <c r="B26" s="9">
        <v>11245197.220000001</v>
      </c>
      <c r="C26" s="8"/>
      <c r="D26" s="9">
        <v>11245197.220000001</v>
      </c>
    </row>
    <row r="27" spans="1:4" ht="10.95" customHeight="1" x14ac:dyDescent="0.2">
      <c r="A27" s="8" t="s">
        <v>93</v>
      </c>
      <c r="B27" s="9">
        <v>3632136.3</v>
      </c>
      <c r="C27" s="25">
        <v>367996.01</v>
      </c>
      <c r="D27" s="9">
        <v>4000132.31</v>
      </c>
    </row>
    <row r="28" spans="1:4" ht="10.95" customHeight="1" x14ac:dyDescent="0.2">
      <c r="A28" s="8" t="s">
        <v>92</v>
      </c>
      <c r="B28" s="9">
        <v>4194472.09</v>
      </c>
      <c r="C28" s="25">
        <v>577863.4</v>
      </c>
      <c r="D28" s="9">
        <v>4772335.49</v>
      </c>
    </row>
    <row r="29" spans="1:4" ht="10.95" customHeight="1" x14ac:dyDescent="0.2">
      <c r="A29" s="8" t="s">
        <v>91</v>
      </c>
      <c r="B29" s="9">
        <v>3042341</v>
      </c>
      <c r="C29" s="25">
        <v>232709.5</v>
      </c>
      <c r="D29" s="9">
        <v>3275050.5</v>
      </c>
    </row>
    <row r="30" spans="1:4" ht="10.95" customHeight="1" x14ac:dyDescent="0.2">
      <c r="A30" s="8" t="s">
        <v>87</v>
      </c>
      <c r="B30" s="9">
        <v>1777671.11</v>
      </c>
      <c r="C30" s="8"/>
      <c r="D30" s="9">
        <v>1777671.11</v>
      </c>
    </row>
    <row r="31" spans="1:4" ht="10.95" customHeight="1" x14ac:dyDescent="0.2">
      <c r="A31" s="8" t="s">
        <v>90</v>
      </c>
      <c r="B31" s="9">
        <v>2447929.6</v>
      </c>
      <c r="C31" s="25">
        <v>1185832.6200000001</v>
      </c>
      <c r="D31" s="9">
        <v>3633762.22</v>
      </c>
    </row>
    <row r="32" spans="1:4" ht="10.95" customHeight="1" x14ac:dyDescent="0.2">
      <c r="A32" s="8" t="s">
        <v>89</v>
      </c>
      <c r="B32" s="9">
        <v>486136.61</v>
      </c>
      <c r="C32" s="8"/>
      <c r="D32" s="9">
        <v>486136.61</v>
      </c>
    </row>
    <row r="33" spans="1:6" ht="10.95" customHeight="1" x14ac:dyDescent="0.2">
      <c r="A33" s="8" t="s">
        <v>11</v>
      </c>
      <c r="B33" s="9">
        <v>23038588.609999999</v>
      </c>
      <c r="C33" s="25">
        <v>118333.33</v>
      </c>
      <c r="D33" s="9">
        <v>23156921.940000001</v>
      </c>
      <c r="E33" s="5">
        <v>23146767.279999997</v>
      </c>
      <c r="F33" s="42">
        <f>+D33-E33</f>
        <v>10154.660000003874</v>
      </c>
    </row>
    <row r="34" spans="1:6" ht="10.95" customHeight="1" x14ac:dyDescent="0.2">
      <c r="A34" s="8" t="s">
        <v>88</v>
      </c>
      <c r="B34" s="9">
        <v>15628255.43</v>
      </c>
      <c r="C34" s="25">
        <v>1802777.77</v>
      </c>
      <c r="D34" s="9">
        <v>17431033.199999999</v>
      </c>
    </row>
    <row r="35" spans="1:6" ht="13.35" customHeight="1" x14ac:dyDescent="0.2"/>
    <row r="36" spans="1:6" ht="10.95" customHeight="1" x14ac:dyDescent="0.2">
      <c r="A36" s="6" t="s">
        <v>3</v>
      </c>
      <c r="B36" s="7">
        <f t="shared" ref="B36:C36" si="0">SUM(B6:B34)</f>
        <v>663337405.87000012</v>
      </c>
      <c r="C36" s="7">
        <f t="shared" si="0"/>
        <v>48988755.859999999</v>
      </c>
      <c r="D36" s="7">
        <f>SUM(D6:D34)</f>
        <v>712326161.73000014</v>
      </c>
    </row>
    <row r="37" spans="1:6" x14ac:dyDescent="0.2">
      <c r="B37" s="24"/>
      <c r="D37" s="24"/>
    </row>
    <row r="38" spans="1:6" x14ac:dyDescent="0.2">
      <c r="B38" s="24"/>
      <c r="D38" s="24"/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4F1A-F3EC-4F5F-BB58-E34AD657B1C5}">
  <dimension ref="A1:L153"/>
  <sheetViews>
    <sheetView showGridLines="0" topLeftCell="A142" zoomScaleNormal="100" workbookViewId="0">
      <selection activeCell="M43" sqref="M43"/>
    </sheetView>
  </sheetViews>
  <sheetFormatPr baseColWidth="10" defaultColWidth="8" defaultRowHeight="11.4" x14ac:dyDescent="0.2"/>
  <cols>
    <col min="1" max="1" width="44.109375" style="18" customWidth="1"/>
    <col min="2" max="2" width="12.77734375" style="18" customWidth="1"/>
    <col min="3" max="3" width="11.5546875" style="18" customWidth="1"/>
    <col min="4" max="4" width="24.77734375" style="18" customWidth="1"/>
    <col min="5" max="6" width="11.44140625" style="18" customWidth="1"/>
    <col min="7" max="9" width="9.88671875" style="18" customWidth="1"/>
    <col min="10" max="10" width="10.21875" style="18" customWidth="1"/>
    <col min="11" max="11" width="5.33203125" style="18" bestFit="1" customWidth="1"/>
    <col min="12" max="12" width="11.44140625" style="18" customWidth="1"/>
    <col min="13" max="16384" width="8" style="18"/>
  </cols>
  <sheetData>
    <row r="1" spans="1:12" s="16" customFormat="1" ht="16.649999999999999" customHeight="1" x14ac:dyDescent="0.3">
      <c r="A1" s="38" t="s">
        <v>274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7" customFormat="1" ht="14.4" customHeight="1" x14ac:dyDescent="0.25">
      <c r="A2" s="37" t="s">
        <v>113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7" customFormat="1" ht="14.4" customHeight="1" x14ac:dyDescent="0.25">
      <c r="A3" s="37" t="s">
        <v>273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7" customFormat="1" ht="14.4" customHeight="1" x14ac:dyDescent="0.25">
      <c r="A4" s="37" t="s">
        <v>272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3.35" customHeight="1" x14ac:dyDescent="0.2"/>
    <row r="6" spans="1:12" s="19" customFormat="1" ht="12.15" customHeight="1" x14ac:dyDescent="0.25">
      <c r="A6" s="36" t="s">
        <v>271</v>
      </c>
      <c r="B6" s="36" t="s">
        <v>270</v>
      </c>
      <c r="C6" s="36" t="s">
        <v>269</v>
      </c>
      <c r="D6" s="36" t="s">
        <v>268</v>
      </c>
      <c r="E6" s="35" t="s">
        <v>267</v>
      </c>
      <c r="F6" s="35" t="s">
        <v>266</v>
      </c>
      <c r="G6" s="35" t="s">
        <v>265</v>
      </c>
      <c r="H6" s="35" t="s">
        <v>264</v>
      </c>
      <c r="I6" s="35" t="s">
        <v>263</v>
      </c>
      <c r="J6" s="35" t="s">
        <v>262</v>
      </c>
      <c r="K6" s="35"/>
      <c r="L6" s="35" t="s">
        <v>3</v>
      </c>
    </row>
    <row r="7" spans="1:12" ht="13.35" customHeight="1" x14ac:dyDescent="0.2"/>
    <row r="8" spans="1:12" s="19" customFormat="1" ht="12.15" customHeight="1" x14ac:dyDescent="0.25">
      <c r="A8" s="20" t="s">
        <v>261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0.95" customHeight="1" x14ac:dyDescent="0.2">
      <c r="A9" s="23" t="s">
        <v>260</v>
      </c>
      <c r="B9" s="32">
        <v>46164</v>
      </c>
      <c r="C9" s="32">
        <v>46164</v>
      </c>
      <c r="D9" s="23" t="s">
        <v>259</v>
      </c>
      <c r="E9" s="31">
        <v>0</v>
      </c>
      <c r="F9" s="31">
        <v>0</v>
      </c>
      <c r="G9" s="31">
        <v>14180</v>
      </c>
      <c r="H9" s="31">
        <v>0</v>
      </c>
      <c r="I9" s="31">
        <v>0</v>
      </c>
      <c r="J9" s="31">
        <v>0</v>
      </c>
      <c r="K9" s="23"/>
      <c r="L9" s="31">
        <v>14180</v>
      </c>
    </row>
    <row r="10" spans="1:12" ht="10.95" customHeight="1" x14ac:dyDescent="0.2">
      <c r="A10" s="21" t="s">
        <v>39</v>
      </c>
      <c r="B10" s="34">
        <v>46181</v>
      </c>
      <c r="C10" s="34">
        <v>46193</v>
      </c>
      <c r="D10" s="21" t="s">
        <v>258</v>
      </c>
      <c r="E10" s="33">
        <v>0</v>
      </c>
      <c r="F10" s="33">
        <v>14580</v>
      </c>
      <c r="G10" s="33">
        <v>0</v>
      </c>
      <c r="H10" s="33">
        <v>0</v>
      </c>
      <c r="I10" s="33">
        <v>0</v>
      </c>
      <c r="J10" s="33">
        <v>0</v>
      </c>
      <c r="K10" s="21"/>
      <c r="L10" s="33">
        <v>14580</v>
      </c>
    </row>
    <row r="11" spans="1:12" ht="10.95" customHeight="1" x14ac:dyDescent="0.2">
      <c r="A11" s="21" t="s">
        <v>192</v>
      </c>
      <c r="B11" s="34">
        <v>46186</v>
      </c>
      <c r="C11" s="34">
        <v>46216</v>
      </c>
      <c r="D11" s="21" t="s">
        <v>257</v>
      </c>
      <c r="E11" s="33">
        <v>4120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21"/>
      <c r="L11" s="33">
        <v>4120</v>
      </c>
    </row>
    <row r="12" spans="1:12" ht="10.95" customHeight="1" x14ac:dyDescent="0.2">
      <c r="A12" s="21" t="s">
        <v>192</v>
      </c>
      <c r="B12" s="34">
        <v>46188</v>
      </c>
      <c r="C12" s="34">
        <v>46218</v>
      </c>
      <c r="D12" s="21" t="s">
        <v>256</v>
      </c>
      <c r="E12" s="33">
        <v>14500.5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21"/>
      <c r="L12" s="33">
        <v>14500.5</v>
      </c>
    </row>
    <row r="13" spans="1:12" ht="10.95" customHeight="1" x14ac:dyDescent="0.2">
      <c r="A13" s="21" t="s">
        <v>12</v>
      </c>
      <c r="B13" s="34">
        <v>46189</v>
      </c>
      <c r="C13" s="34">
        <v>46199</v>
      </c>
      <c r="D13" s="21" t="s">
        <v>255</v>
      </c>
      <c r="E13" s="33">
        <v>0</v>
      </c>
      <c r="F13" s="33">
        <v>173355.6</v>
      </c>
      <c r="G13" s="33">
        <v>0</v>
      </c>
      <c r="H13" s="33">
        <v>0</v>
      </c>
      <c r="I13" s="33">
        <v>0</v>
      </c>
      <c r="J13" s="33">
        <v>0</v>
      </c>
      <c r="K13" s="21"/>
      <c r="L13" s="33">
        <v>173355.6</v>
      </c>
    </row>
    <row r="14" spans="1:12" ht="10.95" customHeight="1" x14ac:dyDescent="0.2">
      <c r="A14" s="21" t="s">
        <v>12</v>
      </c>
      <c r="B14" s="34">
        <v>46189</v>
      </c>
      <c r="C14" s="34">
        <v>46199</v>
      </c>
      <c r="D14" s="21" t="s">
        <v>254</v>
      </c>
      <c r="E14" s="33">
        <v>0</v>
      </c>
      <c r="F14" s="33">
        <v>111980</v>
      </c>
      <c r="G14" s="33">
        <v>0</v>
      </c>
      <c r="H14" s="33">
        <v>0</v>
      </c>
      <c r="I14" s="33">
        <v>0</v>
      </c>
      <c r="J14" s="33">
        <v>0</v>
      </c>
      <c r="K14" s="21"/>
      <c r="L14" s="33">
        <v>111980</v>
      </c>
    </row>
    <row r="15" spans="1:12" ht="10.95" customHeight="1" x14ac:dyDescent="0.2">
      <c r="A15" s="21" t="s">
        <v>21</v>
      </c>
      <c r="B15" s="34">
        <v>46191</v>
      </c>
      <c r="C15" s="34">
        <v>46199</v>
      </c>
      <c r="D15" s="21" t="s">
        <v>253</v>
      </c>
      <c r="E15" s="33">
        <v>0</v>
      </c>
      <c r="F15" s="33">
        <v>1862967.11</v>
      </c>
      <c r="G15" s="33">
        <v>0</v>
      </c>
      <c r="H15" s="33">
        <v>0</v>
      </c>
      <c r="I15" s="33">
        <v>0</v>
      </c>
      <c r="J15" s="33">
        <v>0</v>
      </c>
      <c r="K15" s="21"/>
      <c r="L15" s="33">
        <v>1862967.11</v>
      </c>
    </row>
    <row r="16" spans="1:12" ht="10.95" customHeight="1" x14ac:dyDescent="0.2">
      <c r="A16" s="21" t="s">
        <v>207</v>
      </c>
      <c r="B16" s="34">
        <v>46175</v>
      </c>
      <c r="C16" s="34">
        <v>46205</v>
      </c>
      <c r="D16" s="21" t="s">
        <v>251</v>
      </c>
      <c r="E16" s="33">
        <v>58796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21"/>
      <c r="L16" s="33">
        <v>58796</v>
      </c>
    </row>
    <row r="17" spans="1:12" ht="10.95" customHeight="1" x14ac:dyDescent="0.2">
      <c r="A17" s="21" t="s">
        <v>219</v>
      </c>
      <c r="B17" s="34">
        <v>46181</v>
      </c>
      <c r="C17" s="34">
        <v>46211</v>
      </c>
      <c r="D17" s="21" t="s">
        <v>250</v>
      </c>
      <c r="E17" s="33">
        <v>485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21"/>
      <c r="L17" s="33">
        <v>485</v>
      </c>
    </row>
    <row r="18" spans="1:12" ht="10.95" customHeight="1" x14ac:dyDescent="0.2">
      <c r="A18" s="21" t="s">
        <v>219</v>
      </c>
      <c r="B18" s="34">
        <v>46182</v>
      </c>
      <c r="C18" s="34">
        <v>46212</v>
      </c>
      <c r="D18" s="21" t="s">
        <v>249</v>
      </c>
      <c r="E18" s="33">
        <v>24705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21"/>
      <c r="L18" s="33">
        <v>24705</v>
      </c>
    </row>
    <row r="19" spans="1:12" ht="10.95" customHeight="1" x14ac:dyDescent="0.2">
      <c r="A19" s="21" t="s">
        <v>219</v>
      </c>
      <c r="B19" s="34">
        <v>46183</v>
      </c>
      <c r="C19" s="34">
        <v>46213</v>
      </c>
      <c r="D19" s="21" t="s">
        <v>248</v>
      </c>
      <c r="E19" s="33">
        <v>8652.51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21"/>
      <c r="L19" s="33">
        <v>8652.51</v>
      </c>
    </row>
    <row r="20" spans="1:12" ht="10.95" customHeight="1" x14ac:dyDescent="0.2">
      <c r="A20" s="21" t="s">
        <v>207</v>
      </c>
      <c r="B20" s="34">
        <v>46188</v>
      </c>
      <c r="C20" s="34">
        <v>46218</v>
      </c>
      <c r="D20" s="21" t="s">
        <v>247</v>
      </c>
      <c r="E20" s="33">
        <v>48833.31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21"/>
      <c r="L20" s="33">
        <v>48833.31</v>
      </c>
    </row>
    <row r="21" spans="1:12" ht="10.95" customHeight="1" x14ac:dyDescent="0.2">
      <c r="A21" s="21" t="s">
        <v>192</v>
      </c>
      <c r="B21" s="34">
        <v>46191</v>
      </c>
      <c r="C21" s="34">
        <v>46221</v>
      </c>
      <c r="D21" s="21" t="s">
        <v>246</v>
      </c>
      <c r="E21" s="33">
        <v>35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21"/>
      <c r="L21" s="33">
        <v>35</v>
      </c>
    </row>
    <row r="22" spans="1:12" ht="10.95" customHeight="1" x14ac:dyDescent="0.2">
      <c r="A22" s="21" t="s">
        <v>192</v>
      </c>
      <c r="B22" s="34">
        <v>46191</v>
      </c>
      <c r="C22" s="34">
        <v>46220</v>
      </c>
      <c r="D22" s="21" t="s">
        <v>245</v>
      </c>
      <c r="E22" s="33">
        <v>13861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21"/>
      <c r="L22" s="33">
        <v>13861</v>
      </c>
    </row>
    <row r="23" spans="1:12" ht="10.95" customHeight="1" x14ac:dyDescent="0.2">
      <c r="A23" s="21" t="s">
        <v>244</v>
      </c>
      <c r="B23" s="34">
        <v>46197</v>
      </c>
      <c r="C23" s="34">
        <v>46227</v>
      </c>
      <c r="D23" s="21" t="s">
        <v>243</v>
      </c>
      <c r="E23" s="33">
        <v>40324.68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21"/>
      <c r="L23" s="33">
        <v>40324.68</v>
      </c>
    </row>
    <row r="24" spans="1:12" ht="10.95" customHeight="1" x14ac:dyDescent="0.2">
      <c r="A24" s="21" t="s">
        <v>192</v>
      </c>
      <c r="B24" s="34">
        <v>46199</v>
      </c>
      <c r="C24" s="34">
        <v>46229</v>
      </c>
      <c r="D24" s="21" t="s">
        <v>242</v>
      </c>
      <c r="E24" s="33">
        <v>17834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21"/>
      <c r="L24" s="33">
        <v>17834</v>
      </c>
    </row>
    <row r="25" spans="1:12" ht="10.95" customHeight="1" x14ac:dyDescent="0.2">
      <c r="A25" s="21" t="s">
        <v>192</v>
      </c>
      <c r="B25" s="34">
        <v>46202</v>
      </c>
      <c r="C25" s="34">
        <v>46232</v>
      </c>
      <c r="D25" s="21" t="s">
        <v>241</v>
      </c>
      <c r="E25" s="33">
        <v>330.36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21"/>
      <c r="L25" s="33">
        <v>330.36</v>
      </c>
    </row>
    <row r="26" spans="1:12" ht="10.95" customHeight="1" x14ac:dyDescent="0.2">
      <c r="A26" s="30" t="s">
        <v>252</v>
      </c>
      <c r="B26" s="30"/>
      <c r="C26" s="30"/>
      <c r="D26" s="30"/>
      <c r="E26" s="29">
        <f t="shared" ref="E26:L26" si="0">SUM(E9:E25)</f>
        <v>232477.36</v>
      </c>
      <c r="F26" s="29">
        <f t="shared" si="0"/>
        <v>2162882.71</v>
      </c>
      <c r="G26" s="29">
        <f t="shared" si="0"/>
        <v>14180</v>
      </c>
      <c r="H26" s="29">
        <f t="shared" si="0"/>
        <v>0</v>
      </c>
      <c r="I26" s="29">
        <f t="shared" si="0"/>
        <v>0</v>
      </c>
      <c r="J26" s="29">
        <f t="shared" si="0"/>
        <v>0</v>
      </c>
      <c r="K26" s="29">
        <f t="shared" si="0"/>
        <v>0</v>
      </c>
      <c r="L26" s="29">
        <f t="shared" si="0"/>
        <v>2409540.0699999998</v>
      </c>
    </row>
    <row r="27" spans="1:12" ht="13.35" customHeight="1" x14ac:dyDescent="0.2"/>
    <row r="28" spans="1:12" s="19" customFormat="1" ht="12.15" customHeight="1" x14ac:dyDescent="0.25">
      <c r="A28" s="20" t="s">
        <v>333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10.95" customHeight="1" x14ac:dyDescent="0.2">
      <c r="A29" s="23" t="s">
        <v>201</v>
      </c>
      <c r="B29" s="32">
        <v>46185</v>
      </c>
      <c r="C29" s="32">
        <v>46185</v>
      </c>
      <c r="D29" s="23" t="s">
        <v>240</v>
      </c>
      <c r="E29" s="31">
        <v>0</v>
      </c>
      <c r="F29" s="31">
        <v>806796.06</v>
      </c>
      <c r="G29" s="31">
        <v>0</v>
      </c>
      <c r="H29" s="31">
        <v>0</v>
      </c>
      <c r="I29" s="31">
        <v>0</v>
      </c>
      <c r="J29" s="31">
        <v>0</v>
      </c>
      <c r="K29" s="23"/>
      <c r="L29" s="31">
        <v>806796.06</v>
      </c>
    </row>
    <row r="30" spans="1:12" ht="10.95" customHeight="1" x14ac:dyDescent="0.2">
      <c r="A30" s="30" t="s">
        <v>332</v>
      </c>
      <c r="B30" s="30"/>
      <c r="C30" s="30"/>
      <c r="D30" s="30"/>
      <c r="E30" s="29">
        <f t="shared" ref="E30:J30" si="1">E29</f>
        <v>0</v>
      </c>
      <c r="F30" s="29">
        <f t="shared" si="1"/>
        <v>806796.06</v>
      </c>
      <c r="G30" s="29">
        <f t="shared" si="1"/>
        <v>0</v>
      </c>
      <c r="H30" s="29">
        <f t="shared" si="1"/>
        <v>0</v>
      </c>
      <c r="I30" s="29">
        <f t="shared" si="1"/>
        <v>0</v>
      </c>
      <c r="J30" s="29">
        <f t="shared" si="1"/>
        <v>0</v>
      </c>
      <c r="K30" s="30"/>
      <c r="L30" s="29">
        <f>L29</f>
        <v>806796.06</v>
      </c>
    </row>
    <row r="31" spans="1:12" ht="13.35" customHeight="1" x14ac:dyDescent="0.2"/>
    <row r="32" spans="1:12" s="19" customFormat="1" ht="12.15" customHeight="1" x14ac:dyDescent="0.25">
      <c r="A32" s="20" t="s">
        <v>239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10.95" customHeight="1" x14ac:dyDescent="0.2">
      <c r="A33" s="21" t="s">
        <v>207</v>
      </c>
      <c r="B33" s="34">
        <v>46175</v>
      </c>
      <c r="C33" s="34">
        <v>46205</v>
      </c>
      <c r="D33" s="21" t="s">
        <v>251</v>
      </c>
      <c r="E33" s="33">
        <v>2070805.54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21"/>
      <c r="L33" s="33">
        <v>2070805.54</v>
      </c>
    </row>
    <row r="34" spans="1:12" ht="10.95" customHeight="1" x14ac:dyDescent="0.2">
      <c r="A34" s="21" t="s">
        <v>219</v>
      </c>
      <c r="B34" s="34">
        <v>46181</v>
      </c>
      <c r="C34" s="34">
        <v>46211</v>
      </c>
      <c r="D34" s="21" t="s">
        <v>250</v>
      </c>
      <c r="E34" s="33">
        <v>5045.3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21"/>
      <c r="L34" s="33">
        <v>5045.3</v>
      </c>
    </row>
    <row r="35" spans="1:12" ht="10.95" customHeight="1" x14ac:dyDescent="0.2">
      <c r="A35" s="21" t="s">
        <v>219</v>
      </c>
      <c r="B35" s="34">
        <v>46182</v>
      </c>
      <c r="C35" s="34">
        <v>46212</v>
      </c>
      <c r="D35" s="21" t="s">
        <v>249</v>
      </c>
      <c r="E35" s="33">
        <v>1730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21"/>
      <c r="L35" s="33">
        <v>1730</v>
      </c>
    </row>
    <row r="36" spans="1:12" ht="10.95" customHeight="1" x14ac:dyDescent="0.2">
      <c r="A36" s="21" t="s">
        <v>219</v>
      </c>
      <c r="B36" s="34">
        <v>46183</v>
      </c>
      <c r="C36" s="34">
        <v>46213</v>
      </c>
      <c r="D36" s="21" t="s">
        <v>248</v>
      </c>
      <c r="E36" s="33">
        <v>599.44000000000005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21"/>
      <c r="L36" s="33">
        <v>599.44000000000005</v>
      </c>
    </row>
    <row r="37" spans="1:12" ht="10.95" customHeight="1" x14ac:dyDescent="0.2">
      <c r="A37" s="21" t="s">
        <v>207</v>
      </c>
      <c r="B37" s="34">
        <v>46188</v>
      </c>
      <c r="C37" s="34">
        <v>46218</v>
      </c>
      <c r="D37" s="21" t="s">
        <v>247</v>
      </c>
      <c r="E37" s="33">
        <v>588820.28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21"/>
      <c r="L37" s="33">
        <v>588820.28</v>
      </c>
    </row>
    <row r="38" spans="1:12" ht="10.95" customHeight="1" x14ac:dyDescent="0.2">
      <c r="A38" s="21" t="s">
        <v>192</v>
      </c>
      <c r="B38" s="34">
        <v>46191</v>
      </c>
      <c r="C38" s="34">
        <v>46221</v>
      </c>
      <c r="D38" s="21" t="s">
        <v>246</v>
      </c>
      <c r="E38" s="33">
        <v>396019.76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21"/>
      <c r="L38" s="33">
        <v>396019.76</v>
      </c>
    </row>
    <row r="39" spans="1:12" ht="10.95" customHeight="1" x14ac:dyDescent="0.2">
      <c r="A39" s="21" t="s">
        <v>192</v>
      </c>
      <c r="B39" s="34">
        <v>46191</v>
      </c>
      <c r="C39" s="34">
        <v>46220</v>
      </c>
      <c r="D39" s="21" t="s">
        <v>245</v>
      </c>
      <c r="E39" s="33">
        <v>62403.76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21"/>
      <c r="L39" s="33">
        <v>62403.76</v>
      </c>
    </row>
    <row r="40" spans="1:12" ht="10.95" customHeight="1" x14ac:dyDescent="0.2">
      <c r="A40" s="21" t="s">
        <v>244</v>
      </c>
      <c r="B40" s="34">
        <v>46197</v>
      </c>
      <c r="C40" s="34">
        <v>46227</v>
      </c>
      <c r="D40" s="21" t="s">
        <v>243</v>
      </c>
      <c r="E40" s="33">
        <v>25488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21"/>
      <c r="L40" s="33">
        <v>25488</v>
      </c>
    </row>
    <row r="41" spans="1:12" ht="10.95" customHeight="1" x14ac:dyDescent="0.2">
      <c r="A41" s="21" t="s">
        <v>192</v>
      </c>
      <c r="B41" s="34">
        <v>46199</v>
      </c>
      <c r="C41" s="34">
        <v>46229</v>
      </c>
      <c r="D41" s="21" t="s">
        <v>242</v>
      </c>
      <c r="E41" s="33">
        <v>5434.49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21"/>
      <c r="L41" s="33">
        <v>5434.49</v>
      </c>
    </row>
    <row r="42" spans="1:12" ht="10.95" customHeight="1" x14ac:dyDescent="0.2">
      <c r="A42" s="21" t="s">
        <v>192</v>
      </c>
      <c r="B42" s="34">
        <v>46202</v>
      </c>
      <c r="C42" s="34">
        <v>46232</v>
      </c>
      <c r="D42" s="21" t="s">
        <v>241</v>
      </c>
      <c r="E42" s="33">
        <v>3696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21"/>
      <c r="L42" s="33">
        <v>3696</v>
      </c>
    </row>
    <row r="43" spans="1:12" ht="10.95" customHeight="1" x14ac:dyDescent="0.2">
      <c r="A43" s="21" t="s">
        <v>192</v>
      </c>
      <c r="B43" s="34">
        <v>46185</v>
      </c>
      <c r="C43" s="34">
        <v>46214</v>
      </c>
      <c r="D43" s="21" t="s">
        <v>334</v>
      </c>
      <c r="E43" s="33">
        <v>15289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21"/>
      <c r="L43" s="33">
        <v>15289</v>
      </c>
    </row>
    <row r="44" spans="1:12" ht="10.95" customHeight="1" x14ac:dyDescent="0.2">
      <c r="A44" s="23" t="s">
        <v>203</v>
      </c>
      <c r="B44" s="32">
        <v>46078</v>
      </c>
      <c r="C44" s="32">
        <v>46108</v>
      </c>
      <c r="D44" s="23" t="s">
        <v>238</v>
      </c>
      <c r="E44" s="31">
        <v>0</v>
      </c>
      <c r="F44" s="31">
        <v>0</v>
      </c>
      <c r="G44" s="31">
        <v>0</v>
      </c>
      <c r="H44" s="31">
        <v>0</v>
      </c>
      <c r="I44" s="31">
        <v>49.4</v>
      </c>
      <c r="J44" s="31">
        <v>0</v>
      </c>
      <c r="K44" s="23"/>
      <c r="L44" s="31">
        <v>49.4</v>
      </c>
    </row>
    <row r="45" spans="1:12" ht="10.95" customHeight="1" x14ac:dyDescent="0.2">
      <c r="A45" s="21" t="s">
        <v>219</v>
      </c>
      <c r="B45" s="34">
        <v>46168</v>
      </c>
      <c r="C45" s="34">
        <v>46198</v>
      </c>
      <c r="D45" s="21" t="s">
        <v>237</v>
      </c>
      <c r="E45" s="33">
        <v>0</v>
      </c>
      <c r="F45" s="33">
        <v>47200</v>
      </c>
      <c r="G45" s="33">
        <v>0</v>
      </c>
      <c r="H45" s="33">
        <v>0</v>
      </c>
      <c r="I45" s="33">
        <v>0</v>
      </c>
      <c r="J45" s="33">
        <v>0</v>
      </c>
      <c r="K45" s="21"/>
      <c r="L45" s="33">
        <v>47200</v>
      </c>
    </row>
    <row r="46" spans="1:12" ht="10.95" customHeight="1" x14ac:dyDescent="0.2">
      <c r="A46" s="21" t="s">
        <v>219</v>
      </c>
      <c r="B46" s="34">
        <v>46171</v>
      </c>
      <c r="C46" s="34">
        <v>46201</v>
      </c>
      <c r="D46" s="21" t="s">
        <v>236</v>
      </c>
      <c r="E46" s="33">
        <v>0</v>
      </c>
      <c r="F46" s="33">
        <v>16249.17</v>
      </c>
      <c r="G46" s="33">
        <v>0</v>
      </c>
      <c r="H46" s="33">
        <v>0</v>
      </c>
      <c r="I46" s="33">
        <v>0</v>
      </c>
      <c r="J46" s="33">
        <v>0</v>
      </c>
      <c r="K46" s="21"/>
      <c r="L46" s="33">
        <v>16249.17</v>
      </c>
    </row>
    <row r="47" spans="1:12" ht="10.95" customHeight="1" x14ac:dyDescent="0.2">
      <c r="A47" s="21" t="s">
        <v>219</v>
      </c>
      <c r="B47" s="34">
        <v>46176</v>
      </c>
      <c r="C47" s="34">
        <v>46206</v>
      </c>
      <c r="D47" s="21" t="s">
        <v>235</v>
      </c>
      <c r="E47" s="33">
        <v>37500.400000000001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21"/>
      <c r="L47" s="33">
        <v>37500.400000000001</v>
      </c>
    </row>
    <row r="48" spans="1:12" ht="10.95" customHeight="1" x14ac:dyDescent="0.2">
      <c r="A48" s="21" t="s">
        <v>219</v>
      </c>
      <c r="B48" s="34">
        <v>46176</v>
      </c>
      <c r="C48" s="34">
        <v>46206</v>
      </c>
      <c r="D48" s="21" t="s">
        <v>234</v>
      </c>
      <c r="E48" s="33">
        <v>86580.05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21"/>
      <c r="L48" s="33">
        <v>86580.05</v>
      </c>
    </row>
    <row r="49" spans="1:12" ht="10.95" customHeight="1" x14ac:dyDescent="0.2">
      <c r="A49" s="21" t="s">
        <v>215</v>
      </c>
      <c r="B49" s="34">
        <v>46176</v>
      </c>
      <c r="C49" s="34">
        <v>46206</v>
      </c>
      <c r="D49" s="21" t="s">
        <v>233</v>
      </c>
      <c r="E49" s="33">
        <v>287209.23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21"/>
      <c r="L49" s="33">
        <v>287209.23</v>
      </c>
    </row>
    <row r="50" spans="1:12" ht="10.95" customHeight="1" x14ac:dyDescent="0.2">
      <c r="A50" s="21" t="s">
        <v>207</v>
      </c>
      <c r="B50" s="34">
        <v>46178</v>
      </c>
      <c r="C50" s="34">
        <v>46208</v>
      </c>
      <c r="D50" s="21" t="s">
        <v>232</v>
      </c>
      <c r="E50" s="33">
        <v>542620.88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21"/>
      <c r="L50" s="33">
        <v>542620.88</v>
      </c>
    </row>
    <row r="51" spans="1:12" ht="10.95" customHeight="1" x14ac:dyDescent="0.2">
      <c r="A51" s="21" t="s">
        <v>207</v>
      </c>
      <c r="B51" s="34">
        <v>46178</v>
      </c>
      <c r="C51" s="34">
        <v>46208</v>
      </c>
      <c r="D51" s="21" t="s">
        <v>231</v>
      </c>
      <c r="E51" s="33">
        <v>325572.53000000003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21"/>
      <c r="L51" s="33">
        <v>325572.53000000003</v>
      </c>
    </row>
    <row r="52" spans="1:12" ht="10.95" customHeight="1" x14ac:dyDescent="0.2">
      <c r="A52" s="21" t="s">
        <v>192</v>
      </c>
      <c r="B52" s="34">
        <v>46182</v>
      </c>
      <c r="C52" s="34">
        <v>46212</v>
      </c>
      <c r="D52" s="21" t="s">
        <v>230</v>
      </c>
      <c r="E52" s="33">
        <v>22761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21"/>
      <c r="L52" s="33">
        <v>22761</v>
      </c>
    </row>
    <row r="53" spans="1:12" ht="10.95" customHeight="1" x14ac:dyDescent="0.2">
      <c r="A53" s="21" t="s">
        <v>219</v>
      </c>
      <c r="B53" s="34">
        <v>46182</v>
      </c>
      <c r="C53" s="34">
        <v>46212</v>
      </c>
      <c r="D53" s="21" t="s">
        <v>229</v>
      </c>
      <c r="E53" s="33">
        <v>19300.5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21"/>
      <c r="L53" s="33">
        <v>19300.5</v>
      </c>
    </row>
    <row r="54" spans="1:12" ht="10.95" customHeight="1" x14ac:dyDescent="0.2">
      <c r="A54" s="21" t="s">
        <v>207</v>
      </c>
      <c r="B54" s="34">
        <v>46183</v>
      </c>
      <c r="C54" s="34">
        <v>46213</v>
      </c>
      <c r="D54" s="21" t="s">
        <v>228</v>
      </c>
      <c r="E54" s="33">
        <v>570931.53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21"/>
      <c r="L54" s="33">
        <v>570931.53</v>
      </c>
    </row>
    <row r="55" spans="1:12" ht="10.95" customHeight="1" x14ac:dyDescent="0.2">
      <c r="A55" s="21" t="s">
        <v>207</v>
      </c>
      <c r="B55" s="34">
        <v>46183</v>
      </c>
      <c r="C55" s="34">
        <v>46213</v>
      </c>
      <c r="D55" s="21" t="s">
        <v>227</v>
      </c>
      <c r="E55" s="33">
        <v>326563.11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21"/>
      <c r="L55" s="33">
        <v>326563.11</v>
      </c>
    </row>
    <row r="56" spans="1:12" ht="10.95" customHeight="1" x14ac:dyDescent="0.2">
      <c r="A56" s="21" t="s">
        <v>165</v>
      </c>
      <c r="B56" s="34">
        <v>46184</v>
      </c>
      <c r="C56" s="34">
        <v>46184</v>
      </c>
      <c r="D56" s="21" t="s">
        <v>226</v>
      </c>
      <c r="E56" s="33">
        <v>0</v>
      </c>
      <c r="F56" s="33">
        <v>125606.28</v>
      </c>
      <c r="G56" s="33">
        <v>0</v>
      </c>
      <c r="H56" s="33">
        <v>0</v>
      </c>
      <c r="I56" s="33">
        <v>0</v>
      </c>
      <c r="J56" s="33">
        <v>0</v>
      </c>
      <c r="K56" s="21"/>
      <c r="L56" s="33">
        <v>125606.28</v>
      </c>
    </row>
    <row r="57" spans="1:12" ht="10.95" customHeight="1" x14ac:dyDescent="0.2">
      <c r="A57" s="21" t="s">
        <v>165</v>
      </c>
      <c r="B57" s="34">
        <v>46184</v>
      </c>
      <c r="C57" s="34">
        <v>46184</v>
      </c>
      <c r="D57" s="21" t="s">
        <v>225</v>
      </c>
      <c r="E57" s="33">
        <v>0</v>
      </c>
      <c r="F57" s="33">
        <v>33317.35</v>
      </c>
      <c r="G57" s="33">
        <v>0</v>
      </c>
      <c r="H57" s="33">
        <v>0</v>
      </c>
      <c r="I57" s="33">
        <v>0</v>
      </c>
      <c r="J57" s="33">
        <v>0</v>
      </c>
      <c r="K57" s="21"/>
      <c r="L57" s="33">
        <v>33317.35</v>
      </c>
    </row>
    <row r="58" spans="1:12" ht="10.95" customHeight="1" x14ac:dyDescent="0.2">
      <c r="A58" s="21" t="s">
        <v>192</v>
      </c>
      <c r="B58" s="34">
        <v>46186</v>
      </c>
      <c r="C58" s="34">
        <v>46216</v>
      </c>
      <c r="D58" s="21" t="s">
        <v>224</v>
      </c>
      <c r="E58" s="33">
        <v>122940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21"/>
      <c r="L58" s="33">
        <v>122940</v>
      </c>
    </row>
    <row r="59" spans="1:12" ht="10.95" customHeight="1" x14ac:dyDescent="0.2">
      <c r="A59" s="21" t="s">
        <v>165</v>
      </c>
      <c r="B59" s="34">
        <v>46186</v>
      </c>
      <c r="C59" s="34">
        <v>46186</v>
      </c>
      <c r="D59" s="21" t="s">
        <v>223</v>
      </c>
      <c r="E59" s="33">
        <v>0</v>
      </c>
      <c r="F59" s="33">
        <v>32295.88</v>
      </c>
      <c r="G59" s="33">
        <v>0</v>
      </c>
      <c r="H59" s="33">
        <v>0</v>
      </c>
      <c r="I59" s="33">
        <v>0</v>
      </c>
      <c r="J59" s="33">
        <v>0</v>
      </c>
      <c r="K59" s="21"/>
      <c r="L59" s="33">
        <v>32295.88</v>
      </c>
    </row>
    <row r="60" spans="1:12" ht="10.95" customHeight="1" x14ac:dyDescent="0.2">
      <c r="A60" s="21" t="s">
        <v>165</v>
      </c>
      <c r="B60" s="34">
        <v>46186</v>
      </c>
      <c r="C60" s="34">
        <v>46186</v>
      </c>
      <c r="D60" s="21" t="s">
        <v>222</v>
      </c>
      <c r="E60" s="33">
        <v>0</v>
      </c>
      <c r="F60" s="33">
        <v>50133.96</v>
      </c>
      <c r="G60" s="33">
        <v>0</v>
      </c>
      <c r="H60" s="33">
        <v>0</v>
      </c>
      <c r="I60" s="33">
        <v>0</v>
      </c>
      <c r="J60" s="33">
        <v>0</v>
      </c>
      <c r="K60" s="21"/>
      <c r="L60" s="33">
        <v>50133.96</v>
      </c>
    </row>
    <row r="61" spans="1:12" ht="10.95" customHeight="1" x14ac:dyDescent="0.2">
      <c r="A61" s="21" t="s">
        <v>219</v>
      </c>
      <c r="B61" s="34">
        <v>46186</v>
      </c>
      <c r="C61" s="34">
        <v>46216</v>
      </c>
      <c r="D61" s="21" t="s">
        <v>221</v>
      </c>
      <c r="E61" s="33">
        <v>7249.92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21"/>
      <c r="L61" s="33">
        <v>7249.92</v>
      </c>
    </row>
    <row r="62" spans="1:12" ht="10.95" customHeight="1" x14ac:dyDescent="0.2">
      <c r="A62" s="21" t="s">
        <v>207</v>
      </c>
      <c r="B62" s="34">
        <v>46188</v>
      </c>
      <c r="C62" s="34">
        <v>46218</v>
      </c>
      <c r="D62" s="21" t="s">
        <v>220</v>
      </c>
      <c r="E62" s="33">
        <v>61339.75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21"/>
      <c r="L62" s="33">
        <v>61339.75</v>
      </c>
    </row>
    <row r="63" spans="1:12" ht="10.95" customHeight="1" x14ac:dyDescent="0.2">
      <c r="A63" s="21" t="s">
        <v>219</v>
      </c>
      <c r="B63" s="34">
        <v>46188</v>
      </c>
      <c r="C63" s="34">
        <v>46218</v>
      </c>
      <c r="D63" s="21" t="s">
        <v>218</v>
      </c>
      <c r="E63" s="33">
        <v>64621.14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21"/>
      <c r="L63" s="33">
        <v>64621.14</v>
      </c>
    </row>
    <row r="64" spans="1:12" ht="10.95" customHeight="1" x14ac:dyDescent="0.2">
      <c r="A64" s="21" t="s">
        <v>217</v>
      </c>
      <c r="B64" s="34">
        <v>46189</v>
      </c>
      <c r="C64" s="34">
        <v>46219</v>
      </c>
      <c r="D64" s="21" t="s">
        <v>216</v>
      </c>
      <c r="E64" s="33">
        <v>2125.0700000000002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21"/>
      <c r="L64" s="33">
        <v>2125.0700000000002</v>
      </c>
    </row>
    <row r="65" spans="1:12" ht="10.95" customHeight="1" x14ac:dyDescent="0.2">
      <c r="A65" s="21" t="s">
        <v>215</v>
      </c>
      <c r="B65" s="34">
        <v>46190</v>
      </c>
      <c r="C65" s="34">
        <v>46220</v>
      </c>
      <c r="D65" s="21" t="s">
        <v>214</v>
      </c>
      <c r="E65" s="33">
        <v>152775.81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21"/>
      <c r="L65" s="33">
        <v>152775.81</v>
      </c>
    </row>
    <row r="66" spans="1:12" ht="10.95" customHeight="1" x14ac:dyDescent="0.2">
      <c r="A66" s="21" t="s">
        <v>192</v>
      </c>
      <c r="B66" s="34">
        <v>46191</v>
      </c>
      <c r="C66" s="34">
        <v>46220</v>
      </c>
      <c r="D66" s="21" t="s">
        <v>213</v>
      </c>
      <c r="E66" s="33">
        <v>517.79999999999995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21"/>
      <c r="L66" s="33">
        <v>517.79999999999995</v>
      </c>
    </row>
    <row r="67" spans="1:12" ht="10.95" customHeight="1" x14ac:dyDescent="0.2">
      <c r="A67" s="21" t="s">
        <v>212</v>
      </c>
      <c r="B67" s="34">
        <v>46191</v>
      </c>
      <c r="C67" s="34">
        <v>46220</v>
      </c>
      <c r="D67" s="21" t="s">
        <v>211</v>
      </c>
      <c r="E67" s="33">
        <v>262723.21999999997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21"/>
      <c r="L67" s="33">
        <v>262723.21999999997</v>
      </c>
    </row>
    <row r="68" spans="1:12" ht="10.95" customHeight="1" x14ac:dyDescent="0.2">
      <c r="A68" s="21" t="s">
        <v>192</v>
      </c>
      <c r="B68" s="34">
        <v>46192</v>
      </c>
      <c r="C68" s="34">
        <v>46222</v>
      </c>
      <c r="D68" s="21" t="s">
        <v>210</v>
      </c>
      <c r="E68" s="33">
        <v>46824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21"/>
      <c r="L68" s="33">
        <v>46824</v>
      </c>
    </row>
    <row r="69" spans="1:12" ht="10.95" customHeight="1" x14ac:dyDescent="0.2">
      <c r="A69" s="21" t="s">
        <v>66</v>
      </c>
      <c r="B69" s="34">
        <v>46192</v>
      </c>
      <c r="C69" s="34">
        <v>46203</v>
      </c>
      <c r="D69" s="21" t="s">
        <v>209</v>
      </c>
      <c r="E69" s="33">
        <v>0</v>
      </c>
      <c r="F69" s="33">
        <v>129800</v>
      </c>
      <c r="G69" s="33">
        <v>0</v>
      </c>
      <c r="H69" s="33">
        <v>0</v>
      </c>
      <c r="I69" s="33">
        <v>0</v>
      </c>
      <c r="J69" s="33">
        <v>0</v>
      </c>
      <c r="K69" s="21"/>
      <c r="L69" s="33">
        <v>129800</v>
      </c>
    </row>
    <row r="70" spans="1:12" ht="10.95" customHeight="1" x14ac:dyDescent="0.2">
      <c r="A70" s="21" t="s">
        <v>207</v>
      </c>
      <c r="B70" s="34">
        <v>46195</v>
      </c>
      <c r="C70" s="34">
        <v>46225</v>
      </c>
      <c r="D70" s="21" t="s">
        <v>208</v>
      </c>
      <c r="E70" s="33">
        <v>194443.61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21"/>
      <c r="L70" s="33">
        <v>194443.61</v>
      </c>
    </row>
    <row r="71" spans="1:12" ht="10.95" customHeight="1" x14ac:dyDescent="0.2">
      <c r="A71" s="21" t="s">
        <v>207</v>
      </c>
      <c r="B71" s="34">
        <v>46195</v>
      </c>
      <c r="C71" s="34">
        <v>46225</v>
      </c>
      <c r="D71" s="21" t="s">
        <v>206</v>
      </c>
      <c r="E71" s="33">
        <v>577531.74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21"/>
      <c r="L71" s="33">
        <v>577531.74</v>
      </c>
    </row>
    <row r="72" spans="1:12" ht="10.95" customHeight="1" x14ac:dyDescent="0.2">
      <c r="A72" s="21" t="s">
        <v>205</v>
      </c>
      <c r="B72" s="34">
        <v>46195</v>
      </c>
      <c r="C72" s="34">
        <v>46210</v>
      </c>
      <c r="D72" s="21" t="s">
        <v>204</v>
      </c>
      <c r="E72" s="33">
        <v>715000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21"/>
      <c r="L72" s="33">
        <v>715000</v>
      </c>
    </row>
    <row r="73" spans="1:12" ht="10.95" customHeight="1" x14ac:dyDescent="0.2">
      <c r="A73" s="21" t="s">
        <v>203</v>
      </c>
      <c r="B73" s="34">
        <v>46195</v>
      </c>
      <c r="C73" s="34">
        <v>46225</v>
      </c>
      <c r="D73" s="21" t="s">
        <v>202</v>
      </c>
      <c r="E73" s="33">
        <v>146911.49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21"/>
      <c r="L73" s="33">
        <v>146911.49</v>
      </c>
    </row>
    <row r="74" spans="1:12" ht="10.95" customHeight="1" x14ac:dyDescent="0.2">
      <c r="A74" s="21" t="s">
        <v>201</v>
      </c>
      <c r="B74" s="34">
        <v>46195</v>
      </c>
      <c r="C74" s="34">
        <v>46199</v>
      </c>
      <c r="D74" s="21" t="s">
        <v>200</v>
      </c>
      <c r="E74" s="33">
        <v>0</v>
      </c>
      <c r="F74" s="33">
        <v>645239.26</v>
      </c>
      <c r="G74" s="33">
        <v>0</v>
      </c>
      <c r="H74" s="33">
        <v>0</v>
      </c>
      <c r="I74" s="33">
        <v>0</v>
      </c>
      <c r="J74" s="33">
        <v>0</v>
      </c>
      <c r="K74" s="21"/>
      <c r="L74" s="33">
        <v>645239.26</v>
      </c>
    </row>
    <row r="75" spans="1:12" ht="10.95" customHeight="1" x14ac:dyDescent="0.2">
      <c r="A75" s="21" t="s">
        <v>199</v>
      </c>
      <c r="B75" s="34">
        <v>46196</v>
      </c>
      <c r="C75" s="34">
        <v>46226</v>
      </c>
      <c r="D75" s="21" t="s">
        <v>198</v>
      </c>
      <c r="E75" s="33">
        <v>124100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21"/>
      <c r="L75" s="33">
        <v>124100</v>
      </c>
    </row>
    <row r="76" spans="1:12" ht="10.95" customHeight="1" x14ac:dyDescent="0.2">
      <c r="A76" s="21" t="s">
        <v>192</v>
      </c>
      <c r="B76" s="34">
        <v>46197</v>
      </c>
      <c r="C76" s="34">
        <v>46227</v>
      </c>
      <c r="D76" s="21" t="s">
        <v>197</v>
      </c>
      <c r="E76" s="33">
        <v>43560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21"/>
      <c r="L76" s="33">
        <v>43560</v>
      </c>
    </row>
    <row r="77" spans="1:12" ht="10.95" customHeight="1" x14ac:dyDescent="0.2">
      <c r="A77" s="21" t="s">
        <v>196</v>
      </c>
      <c r="B77" s="34">
        <v>46197</v>
      </c>
      <c r="C77" s="34">
        <v>46199</v>
      </c>
      <c r="D77" s="21" t="s">
        <v>195</v>
      </c>
      <c r="E77" s="33">
        <v>0</v>
      </c>
      <c r="F77" s="33">
        <v>34220</v>
      </c>
      <c r="G77" s="33">
        <v>0</v>
      </c>
      <c r="H77" s="33">
        <v>0</v>
      </c>
      <c r="I77" s="33">
        <v>0</v>
      </c>
      <c r="J77" s="33">
        <v>0</v>
      </c>
      <c r="K77" s="21"/>
      <c r="L77" s="33">
        <v>34220</v>
      </c>
    </row>
    <row r="78" spans="1:12" ht="10.95" customHeight="1" x14ac:dyDescent="0.2">
      <c r="A78" s="21" t="s">
        <v>194</v>
      </c>
      <c r="B78" s="34">
        <v>46202</v>
      </c>
      <c r="C78" s="34">
        <v>46213</v>
      </c>
      <c r="D78" s="21" t="s">
        <v>193</v>
      </c>
      <c r="E78" s="33">
        <v>33100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21"/>
      <c r="L78" s="33">
        <v>33100</v>
      </c>
    </row>
    <row r="79" spans="1:12" ht="10.95" customHeight="1" x14ac:dyDescent="0.2">
      <c r="A79" s="21" t="s">
        <v>192</v>
      </c>
      <c r="B79" s="34">
        <v>46203</v>
      </c>
      <c r="C79" s="34">
        <v>46233</v>
      </c>
      <c r="D79" s="21" t="s">
        <v>191</v>
      </c>
      <c r="E79" s="33">
        <v>15115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21"/>
      <c r="L79" s="33">
        <v>15115</v>
      </c>
    </row>
    <row r="80" spans="1:12" ht="10.95" customHeight="1" x14ac:dyDescent="0.2">
      <c r="A80" s="30" t="s">
        <v>190</v>
      </c>
      <c r="B80" s="30"/>
      <c r="C80" s="30"/>
      <c r="D80" s="30"/>
      <c r="E80" s="29">
        <f t="shared" ref="E80:L80" si="2">SUM(E33:E79)</f>
        <v>7965249.3500000006</v>
      </c>
      <c r="F80" s="29">
        <f t="shared" si="2"/>
        <v>1114061.8999999999</v>
      </c>
      <c r="G80" s="29">
        <f t="shared" si="2"/>
        <v>0</v>
      </c>
      <c r="H80" s="29">
        <f t="shared" si="2"/>
        <v>0</v>
      </c>
      <c r="I80" s="29">
        <f t="shared" si="2"/>
        <v>49.4</v>
      </c>
      <c r="J80" s="29">
        <f t="shared" si="2"/>
        <v>0</v>
      </c>
      <c r="K80" s="29">
        <f t="shared" si="2"/>
        <v>0</v>
      </c>
      <c r="L80" s="29">
        <f t="shared" si="2"/>
        <v>9079360.6500000004</v>
      </c>
    </row>
    <row r="81" spans="1:12" ht="13.35" customHeight="1" x14ac:dyDescent="0.2"/>
    <row r="82" spans="1:12" s="19" customFormat="1" ht="12.15" customHeight="1" x14ac:dyDescent="0.25">
      <c r="A82" s="20" t="s">
        <v>189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spans="1:12" ht="10.95" customHeight="1" x14ac:dyDescent="0.2">
      <c r="A83" s="23" t="s">
        <v>161</v>
      </c>
      <c r="B83" s="32">
        <v>46203</v>
      </c>
      <c r="C83" s="32">
        <v>46233</v>
      </c>
      <c r="D83" s="23" t="s">
        <v>188</v>
      </c>
      <c r="E83" s="31">
        <v>90246.399999999994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23"/>
      <c r="L83" s="31">
        <v>90246.399999999994</v>
      </c>
    </row>
    <row r="84" spans="1:12" ht="10.95" customHeight="1" x14ac:dyDescent="0.2">
      <c r="A84" s="30" t="s">
        <v>187</v>
      </c>
      <c r="B84" s="30"/>
      <c r="C84" s="30"/>
      <c r="D84" s="30"/>
      <c r="E84" s="29">
        <f t="shared" ref="E84:J84" si="3">E83</f>
        <v>90246.399999999994</v>
      </c>
      <c r="F84" s="29">
        <f t="shared" si="3"/>
        <v>0</v>
      </c>
      <c r="G84" s="29">
        <f t="shared" si="3"/>
        <v>0</v>
      </c>
      <c r="H84" s="29">
        <f t="shared" si="3"/>
        <v>0</v>
      </c>
      <c r="I84" s="29">
        <f t="shared" si="3"/>
        <v>0</v>
      </c>
      <c r="J84" s="29">
        <f t="shared" si="3"/>
        <v>0</v>
      </c>
      <c r="K84" s="30"/>
      <c r="L84" s="29">
        <f>L83</f>
        <v>90246.399999999994</v>
      </c>
    </row>
    <row r="85" spans="1:12" ht="13.35" customHeight="1" x14ac:dyDescent="0.2"/>
    <row r="86" spans="1:12" s="19" customFormat="1" ht="12.15" customHeight="1" x14ac:dyDescent="0.25">
      <c r="A86" s="20" t="s">
        <v>186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spans="1:12" ht="10.95" customHeight="1" x14ac:dyDescent="0.2">
      <c r="A87" s="23" t="s">
        <v>185</v>
      </c>
      <c r="B87" s="32">
        <v>46203</v>
      </c>
      <c r="C87" s="32">
        <v>46203</v>
      </c>
      <c r="D87" s="23" t="s">
        <v>184</v>
      </c>
      <c r="E87" s="31">
        <v>0</v>
      </c>
      <c r="F87" s="31">
        <v>506964.3</v>
      </c>
      <c r="G87" s="31">
        <v>0</v>
      </c>
      <c r="H87" s="31">
        <v>0</v>
      </c>
      <c r="I87" s="31">
        <v>0</v>
      </c>
      <c r="J87" s="31">
        <v>0</v>
      </c>
      <c r="K87" s="23"/>
      <c r="L87" s="31">
        <v>506964.3</v>
      </c>
    </row>
    <row r="88" spans="1:12" ht="10.95" customHeight="1" x14ac:dyDescent="0.2">
      <c r="A88" s="30" t="s">
        <v>183</v>
      </c>
      <c r="B88" s="30"/>
      <c r="C88" s="30"/>
      <c r="D88" s="30"/>
      <c r="E88" s="29">
        <f t="shared" ref="E88:J88" si="4">E87</f>
        <v>0</v>
      </c>
      <c r="F88" s="29">
        <f t="shared" si="4"/>
        <v>506964.3</v>
      </c>
      <c r="G88" s="29">
        <f t="shared" si="4"/>
        <v>0</v>
      </c>
      <c r="H88" s="29">
        <f t="shared" si="4"/>
        <v>0</v>
      </c>
      <c r="I88" s="29">
        <f t="shared" si="4"/>
        <v>0</v>
      </c>
      <c r="J88" s="29">
        <f t="shared" si="4"/>
        <v>0</v>
      </c>
      <c r="K88" s="30"/>
      <c r="L88" s="29">
        <f>L87</f>
        <v>506964.3</v>
      </c>
    </row>
    <row r="89" spans="1:12" ht="13.35" customHeight="1" x14ac:dyDescent="0.2"/>
    <row r="90" spans="1:12" s="19" customFormat="1" ht="12.15" customHeight="1" x14ac:dyDescent="0.25">
      <c r="A90" s="20" t="s">
        <v>182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spans="1:12" ht="10.95" customHeight="1" x14ac:dyDescent="0.2">
      <c r="A91" s="23" t="s">
        <v>175</v>
      </c>
      <c r="B91" s="32">
        <v>46174</v>
      </c>
      <c r="C91" s="32">
        <v>46206</v>
      </c>
      <c r="D91" s="23" t="s">
        <v>181</v>
      </c>
      <c r="E91" s="31">
        <v>704746.92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23"/>
      <c r="L91" s="31">
        <v>704746.92</v>
      </c>
    </row>
    <row r="92" spans="1:12" ht="10.95" customHeight="1" x14ac:dyDescent="0.2">
      <c r="A92" s="21" t="s">
        <v>180</v>
      </c>
      <c r="B92" s="34">
        <v>46181</v>
      </c>
      <c r="C92" s="34">
        <v>46199</v>
      </c>
      <c r="D92" s="21" t="s">
        <v>179</v>
      </c>
      <c r="E92" s="33">
        <v>0</v>
      </c>
      <c r="F92" s="33">
        <v>581828.5</v>
      </c>
      <c r="G92" s="33">
        <v>0</v>
      </c>
      <c r="H92" s="33">
        <v>0</v>
      </c>
      <c r="I92" s="33">
        <v>0</v>
      </c>
      <c r="J92" s="33">
        <v>0</v>
      </c>
      <c r="K92" s="21"/>
      <c r="L92" s="33">
        <v>581828.5</v>
      </c>
    </row>
    <row r="93" spans="1:12" ht="10.95" customHeight="1" x14ac:dyDescent="0.2">
      <c r="A93" s="21" t="s">
        <v>177</v>
      </c>
      <c r="B93" s="34">
        <v>46182</v>
      </c>
      <c r="C93" s="34">
        <v>46199</v>
      </c>
      <c r="D93" s="21" t="s">
        <v>178</v>
      </c>
      <c r="E93" s="33">
        <v>0</v>
      </c>
      <c r="F93" s="33">
        <v>468623.25</v>
      </c>
      <c r="G93" s="33">
        <v>0</v>
      </c>
      <c r="H93" s="33">
        <v>0</v>
      </c>
      <c r="I93" s="33">
        <v>0</v>
      </c>
      <c r="J93" s="33">
        <v>0</v>
      </c>
      <c r="K93" s="21"/>
      <c r="L93" s="33">
        <v>468623.25</v>
      </c>
    </row>
    <row r="94" spans="1:12" ht="10.95" customHeight="1" x14ac:dyDescent="0.2">
      <c r="A94" s="21" t="s">
        <v>177</v>
      </c>
      <c r="B94" s="34">
        <v>46183</v>
      </c>
      <c r="C94" s="34">
        <v>46199</v>
      </c>
      <c r="D94" s="21" t="s">
        <v>176</v>
      </c>
      <c r="E94" s="33">
        <v>0</v>
      </c>
      <c r="F94" s="33">
        <v>609683.23</v>
      </c>
      <c r="G94" s="33">
        <v>0</v>
      </c>
      <c r="H94" s="33">
        <v>0</v>
      </c>
      <c r="I94" s="33">
        <v>0</v>
      </c>
      <c r="J94" s="33">
        <v>0</v>
      </c>
      <c r="K94" s="21"/>
      <c r="L94" s="33">
        <v>609683.23</v>
      </c>
    </row>
    <row r="95" spans="1:12" ht="10.95" customHeight="1" x14ac:dyDescent="0.2">
      <c r="A95" s="21" t="s">
        <v>175</v>
      </c>
      <c r="B95" s="34">
        <v>46191</v>
      </c>
      <c r="C95" s="34">
        <v>46206</v>
      </c>
      <c r="D95" s="21" t="s">
        <v>174</v>
      </c>
      <c r="E95" s="33">
        <v>628777.80000000005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21"/>
      <c r="L95" s="33">
        <v>628777.80000000005</v>
      </c>
    </row>
    <row r="96" spans="1:12" ht="10.95" customHeight="1" x14ac:dyDescent="0.2">
      <c r="A96" s="21" t="s">
        <v>173</v>
      </c>
      <c r="B96" s="34">
        <v>46195</v>
      </c>
      <c r="C96" s="34">
        <v>46213</v>
      </c>
      <c r="D96" s="21" t="s">
        <v>172</v>
      </c>
      <c r="E96" s="33">
        <v>530812.67000000004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21"/>
      <c r="L96" s="33">
        <v>530812.67000000004</v>
      </c>
    </row>
    <row r="97" spans="1:12" ht="10.95" customHeight="1" x14ac:dyDescent="0.2">
      <c r="A97" s="21" t="s">
        <v>171</v>
      </c>
      <c r="B97" s="34">
        <v>46196</v>
      </c>
      <c r="C97" s="34">
        <v>46213</v>
      </c>
      <c r="D97" s="21" t="s">
        <v>170</v>
      </c>
      <c r="E97" s="33">
        <v>486750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21"/>
      <c r="L97" s="33">
        <v>486750</v>
      </c>
    </row>
    <row r="98" spans="1:12" ht="10.95" customHeight="1" x14ac:dyDescent="0.2">
      <c r="A98" s="30" t="s">
        <v>169</v>
      </c>
      <c r="B98" s="30"/>
      <c r="C98" s="30"/>
      <c r="D98" s="30"/>
      <c r="E98" s="29">
        <f t="shared" ref="E98:J98" si="5">SUM(E91:E97)</f>
        <v>2351087.39</v>
      </c>
      <c r="F98" s="29">
        <f t="shared" si="5"/>
        <v>1660134.98</v>
      </c>
      <c r="G98" s="29">
        <f t="shared" si="5"/>
        <v>0</v>
      </c>
      <c r="H98" s="29">
        <f t="shared" si="5"/>
        <v>0</v>
      </c>
      <c r="I98" s="29">
        <f t="shared" si="5"/>
        <v>0</v>
      </c>
      <c r="J98" s="29">
        <f t="shared" si="5"/>
        <v>0</v>
      </c>
      <c r="K98" s="30"/>
      <c r="L98" s="29">
        <f>SUM(L91:L97)</f>
        <v>4011222.37</v>
      </c>
    </row>
    <row r="99" spans="1:12" ht="13.35" customHeight="1" x14ac:dyDescent="0.2"/>
    <row r="100" spans="1:12" s="19" customFormat="1" ht="12.15" customHeight="1" x14ac:dyDescent="0.25">
      <c r="A100" s="20" t="s">
        <v>168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2" ht="10.95" customHeight="1" x14ac:dyDescent="0.2">
      <c r="A101" s="23" t="s">
        <v>161</v>
      </c>
      <c r="B101" s="32">
        <v>46173</v>
      </c>
      <c r="C101" s="32">
        <v>46203</v>
      </c>
      <c r="D101" s="23" t="s">
        <v>167</v>
      </c>
      <c r="E101" s="31">
        <v>0</v>
      </c>
      <c r="F101" s="31">
        <v>70233.600000000006</v>
      </c>
      <c r="G101" s="31">
        <v>0</v>
      </c>
      <c r="H101" s="31">
        <v>0</v>
      </c>
      <c r="I101" s="31">
        <v>0</v>
      </c>
      <c r="J101" s="31">
        <v>0</v>
      </c>
      <c r="K101" s="23"/>
      <c r="L101" s="31">
        <v>70233.600000000006</v>
      </c>
    </row>
    <row r="102" spans="1:12" ht="10.95" customHeight="1" x14ac:dyDescent="0.2">
      <c r="A102" s="21" t="s">
        <v>165</v>
      </c>
      <c r="B102" s="34">
        <v>46184</v>
      </c>
      <c r="C102" s="34">
        <v>46184</v>
      </c>
      <c r="D102" s="21" t="s">
        <v>166</v>
      </c>
      <c r="E102" s="33">
        <v>0</v>
      </c>
      <c r="F102" s="33">
        <v>26928.31</v>
      </c>
      <c r="G102" s="33">
        <v>0</v>
      </c>
      <c r="H102" s="33">
        <v>0</v>
      </c>
      <c r="I102" s="33">
        <v>0</v>
      </c>
      <c r="J102" s="33">
        <v>0</v>
      </c>
      <c r="K102" s="21"/>
      <c r="L102" s="33">
        <v>26928.31</v>
      </c>
    </row>
    <row r="103" spans="1:12" ht="10.95" customHeight="1" x14ac:dyDescent="0.2">
      <c r="A103" s="21" t="s">
        <v>165</v>
      </c>
      <c r="B103" s="34">
        <v>46186</v>
      </c>
      <c r="C103" s="34">
        <v>46186</v>
      </c>
      <c r="D103" s="21" t="s">
        <v>164</v>
      </c>
      <c r="E103" s="33">
        <v>0</v>
      </c>
      <c r="F103" s="33">
        <v>22554.28</v>
      </c>
      <c r="G103" s="33">
        <v>0</v>
      </c>
      <c r="H103" s="33">
        <v>0</v>
      </c>
      <c r="I103" s="33">
        <v>0</v>
      </c>
      <c r="J103" s="33">
        <v>0</v>
      </c>
      <c r="K103" s="21"/>
      <c r="L103" s="33">
        <v>22554.28</v>
      </c>
    </row>
    <row r="104" spans="1:12" ht="10.95" customHeight="1" x14ac:dyDescent="0.2">
      <c r="A104" s="21" t="s">
        <v>163</v>
      </c>
      <c r="B104" s="34">
        <v>46189</v>
      </c>
      <c r="C104" s="34">
        <v>46219</v>
      </c>
      <c r="D104" s="21" t="s">
        <v>162</v>
      </c>
      <c r="E104" s="33">
        <v>14560.34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21"/>
      <c r="L104" s="33">
        <v>14560.34</v>
      </c>
    </row>
    <row r="105" spans="1:12" ht="10.95" customHeight="1" x14ac:dyDescent="0.2">
      <c r="A105" s="21" t="s">
        <v>161</v>
      </c>
      <c r="B105" s="34">
        <v>46203</v>
      </c>
      <c r="C105" s="34">
        <v>46233</v>
      </c>
      <c r="D105" s="21" t="s">
        <v>160</v>
      </c>
      <c r="E105" s="33">
        <v>67968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21"/>
      <c r="L105" s="33">
        <v>67968</v>
      </c>
    </row>
    <row r="106" spans="1:12" ht="10.95" customHeight="1" x14ac:dyDescent="0.2">
      <c r="A106" s="30" t="s">
        <v>159</v>
      </c>
      <c r="B106" s="30"/>
      <c r="C106" s="30"/>
      <c r="D106" s="30"/>
      <c r="E106" s="29">
        <f t="shared" ref="E106:J106" si="6">SUM(E101:E105)</f>
        <v>82528.34</v>
      </c>
      <c r="F106" s="29">
        <f t="shared" si="6"/>
        <v>119716.19</v>
      </c>
      <c r="G106" s="29">
        <f t="shared" si="6"/>
        <v>0</v>
      </c>
      <c r="H106" s="29">
        <f t="shared" si="6"/>
        <v>0</v>
      </c>
      <c r="I106" s="29">
        <f t="shared" si="6"/>
        <v>0</v>
      </c>
      <c r="J106" s="29">
        <f t="shared" si="6"/>
        <v>0</v>
      </c>
      <c r="K106" s="30"/>
      <c r="L106" s="29">
        <f>SUM(L101:L105)</f>
        <v>202244.53</v>
      </c>
    </row>
    <row r="107" spans="1:12" ht="13.35" customHeight="1" x14ac:dyDescent="0.2"/>
    <row r="108" spans="1:12" s="19" customFormat="1" ht="12.15" customHeight="1" x14ac:dyDescent="0.25">
      <c r="A108" s="20" t="s">
        <v>331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spans="1:12" ht="10.95" customHeight="1" x14ac:dyDescent="0.2">
      <c r="A109" s="23" t="s">
        <v>24</v>
      </c>
      <c r="B109" s="32">
        <v>46199</v>
      </c>
      <c r="C109" s="32">
        <v>46199</v>
      </c>
      <c r="D109" s="23" t="s">
        <v>330</v>
      </c>
      <c r="E109" s="31">
        <v>0</v>
      </c>
      <c r="F109" s="31">
        <v>293802.58</v>
      </c>
      <c r="G109" s="31">
        <v>0</v>
      </c>
      <c r="H109" s="31">
        <v>0</v>
      </c>
      <c r="I109" s="31">
        <v>0</v>
      </c>
      <c r="J109" s="31">
        <v>0</v>
      </c>
      <c r="K109" s="23"/>
      <c r="L109" s="31">
        <v>293802.58</v>
      </c>
    </row>
    <row r="110" spans="1:12" ht="10.95" customHeight="1" x14ac:dyDescent="0.2">
      <c r="A110" s="30" t="s">
        <v>329</v>
      </c>
      <c r="B110" s="30"/>
      <c r="C110" s="30"/>
      <c r="D110" s="30"/>
      <c r="E110" s="29">
        <f t="shared" ref="E110:J110" si="7">E109</f>
        <v>0</v>
      </c>
      <c r="F110" s="29">
        <f t="shared" si="7"/>
        <v>293802.58</v>
      </c>
      <c r="G110" s="29">
        <f t="shared" si="7"/>
        <v>0</v>
      </c>
      <c r="H110" s="29">
        <f t="shared" si="7"/>
        <v>0</v>
      </c>
      <c r="I110" s="29">
        <f t="shared" si="7"/>
        <v>0</v>
      </c>
      <c r="J110" s="29">
        <f t="shared" si="7"/>
        <v>0</v>
      </c>
      <c r="K110" s="30"/>
      <c r="L110" s="29">
        <f>L109</f>
        <v>293802.58</v>
      </c>
    </row>
    <row r="111" spans="1:12" ht="13.35" customHeight="1" x14ac:dyDescent="0.2"/>
    <row r="112" spans="1:12" s="19" customFormat="1" ht="12.15" customHeight="1" x14ac:dyDescent="0.25">
      <c r="A112" s="20" t="s">
        <v>158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spans="1:12" ht="10.95" customHeight="1" x14ac:dyDescent="0.2">
      <c r="A113" s="23" t="s">
        <v>54</v>
      </c>
      <c r="B113" s="32">
        <v>45947</v>
      </c>
      <c r="C113" s="32">
        <v>45947</v>
      </c>
      <c r="D113" s="23"/>
      <c r="E113" s="31">
        <v>0</v>
      </c>
      <c r="F113" s="31">
        <v>0</v>
      </c>
      <c r="G113" s="31">
        <v>0</v>
      </c>
      <c r="H113" s="31">
        <v>0</v>
      </c>
      <c r="I113" s="31">
        <v>0</v>
      </c>
      <c r="J113" s="31">
        <v>-14760.54</v>
      </c>
      <c r="K113" s="23" t="s">
        <v>157</v>
      </c>
      <c r="L113" s="31">
        <v>-14760.54</v>
      </c>
    </row>
    <row r="114" spans="1:12" ht="10.95" customHeight="1" x14ac:dyDescent="0.2">
      <c r="A114" s="30" t="s">
        <v>156</v>
      </c>
      <c r="B114" s="30"/>
      <c r="C114" s="30"/>
      <c r="D114" s="30"/>
      <c r="E114" s="29">
        <f t="shared" ref="E114:J114" si="8">E113</f>
        <v>0</v>
      </c>
      <c r="F114" s="29">
        <f t="shared" si="8"/>
        <v>0</v>
      </c>
      <c r="G114" s="29">
        <f t="shared" si="8"/>
        <v>0</v>
      </c>
      <c r="H114" s="29">
        <f t="shared" si="8"/>
        <v>0</v>
      </c>
      <c r="I114" s="29">
        <f t="shared" si="8"/>
        <v>0</v>
      </c>
      <c r="J114" s="29">
        <f t="shared" si="8"/>
        <v>-14760.54</v>
      </c>
      <c r="K114" s="30"/>
      <c r="L114" s="29">
        <f>L113</f>
        <v>-14760.54</v>
      </c>
    </row>
    <row r="115" spans="1:12" ht="13.35" customHeight="1" x14ac:dyDescent="0.2"/>
    <row r="116" spans="1:12" s="19" customFormat="1" ht="12.15" customHeight="1" x14ac:dyDescent="0.25">
      <c r="A116" s="20" t="s">
        <v>155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spans="1:12" ht="10.95" customHeight="1" x14ac:dyDescent="0.2">
      <c r="A117" s="23" t="s">
        <v>154</v>
      </c>
      <c r="B117" s="32">
        <v>46174</v>
      </c>
      <c r="C117" s="32">
        <v>46191</v>
      </c>
      <c r="D117" s="23" t="s">
        <v>153</v>
      </c>
      <c r="E117" s="31">
        <v>0</v>
      </c>
      <c r="F117" s="31">
        <v>99358.92</v>
      </c>
      <c r="G117" s="31">
        <v>0</v>
      </c>
      <c r="H117" s="31">
        <v>0</v>
      </c>
      <c r="I117" s="31">
        <v>0</v>
      </c>
      <c r="J117" s="31">
        <v>0</v>
      </c>
      <c r="K117" s="23"/>
      <c r="L117" s="31">
        <v>99358.92</v>
      </c>
    </row>
    <row r="118" spans="1:12" ht="10.95" customHeight="1" x14ac:dyDescent="0.2">
      <c r="A118" s="30" t="s">
        <v>152</v>
      </c>
      <c r="B118" s="30"/>
      <c r="C118" s="30"/>
      <c r="D118" s="30"/>
      <c r="E118" s="29">
        <f t="shared" ref="E118:J118" si="9">E117</f>
        <v>0</v>
      </c>
      <c r="F118" s="29">
        <f t="shared" si="9"/>
        <v>99358.92</v>
      </c>
      <c r="G118" s="29">
        <f t="shared" si="9"/>
        <v>0</v>
      </c>
      <c r="H118" s="29">
        <f t="shared" si="9"/>
        <v>0</v>
      </c>
      <c r="I118" s="29">
        <f t="shared" si="9"/>
        <v>0</v>
      </c>
      <c r="J118" s="29">
        <f t="shared" si="9"/>
        <v>0</v>
      </c>
      <c r="K118" s="30"/>
      <c r="L118" s="29">
        <f>L117</f>
        <v>99358.92</v>
      </c>
    </row>
    <row r="119" spans="1:12" ht="13.35" customHeight="1" x14ac:dyDescent="0.2"/>
    <row r="120" spans="1:12" s="19" customFormat="1" ht="12.15" customHeight="1" x14ac:dyDescent="0.25">
      <c r="A120" s="20" t="s">
        <v>151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spans="1:12" ht="10.95" customHeight="1" x14ac:dyDescent="0.2">
      <c r="A121" s="23" t="s">
        <v>150</v>
      </c>
      <c r="B121" s="32">
        <v>46174</v>
      </c>
      <c r="C121" s="32">
        <v>46203</v>
      </c>
      <c r="D121" s="23" t="s">
        <v>149</v>
      </c>
      <c r="E121" s="31">
        <v>0</v>
      </c>
      <c r="F121" s="31">
        <v>70800</v>
      </c>
      <c r="G121" s="31">
        <v>0</v>
      </c>
      <c r="H121" s="31">
        <v>0</v>
      </c>
      <c r="I121" s="31">
        <v>0</v>
      </c>
      <c r="J121" s="31">
        <v>0</v>
      </c>
      <c r="K121" s="23"/>
      <c r="L121" s="31">
        <v>70800</v>
      </c>
    </row>
    <row r="122" spans="1:12" ht="10.95" customHeight="1" x14ac:dyDescent="0.2">
      <c r="A122" s="21" t="s">
        <v>148</v>
      </c>
      <c r="B122" s="34">
        <v>46175</v>
      </c>
      <c r="C122" s="34">
        <v>46205</v>
      </c>
      <c r="D122" s="21" t="s">
        <v>147</v>
      </c>
      <c r="E122" s="33">
        <v>94400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21"/>
      <c r="L122" s="33">
        <v>94400</v>
      </c>
    </row>
    <row r="123" spans="1:12" ht="10.95" customHeight="1" x14ac:dyDescent="0.2">
      <c r="A123" s="21" t="s">
        <v>146</v>
      </c>
      <c r="B123" s="34">
        <v>46178</v>
      </c>
      <c r="C123" s="34">
        <v>46206</v>
      </c>
      <c r="D123" s="21" t="s">
        <v>145</v>
      </c>
      <c r="E123" s="33">
        <v>65000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21"/>
      <c r="L123" s="33">
        <v>65000</v>
      </c>
    </row>
    <row r="124" spans="1:12" ht="10.95" customHeight="1" x14ac:dyDescent="0.2">
      <c r="A124" s="21" t="s">
        <v>144</v>
      </c>
      <c r="B124" s="34">
        <v>46184</v>
      </c>
      <c r="C124" s="34">
        <v>46214</v>
      </c>
      <c r="D124" s="21" t="s">
        <v>143</v>
      </c>
      <c r="E124" s="33">
        <v>69797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21"/>
      <c r="L124" s="33">
        <v>69797</v>
      </c>
    </row>
    <row r="125" spans="1:12" ht="10.95" customHeight="1" x14ac:dyDescent="0.2">
      <c r="A125" s="30" t="s">
        <v>142</v>
      </c>
      <c r="B125" s="30"/>
      <c r="C125" s="30"/>
      <c r="D125" s="30"/>
      <c r="E125" s="29">
        <f t="shared" ref="E125:J125" si="10">SUM(E121:E124)</f>
        <v>229197</v>
      </c>
      <c r="F125" s="29">
        <f t="shared" si="10"/>
        <v>70800</v>
      </c>
      <c r="G125" s="29">
        <f t="shared" si="10"/>
        <v>0</v>
      </c>
      <c r="H125" s="29">
        <f t="shared" si="10"/>
        <v>0</v>
      </c>
      <c r="I125" s="29">
        <f t="shared" si="10"/>
        <v>0</v>
      </c>
      <c r="J125" s="29">
        <f t="shared" si="10"/>
        <v>0</v>
      </c>
      <c r="K125" s="30"/>
      <c r="L125" s="29">
        <f>SUM(L121:L124)</f>
        <v>299997</v>
      </c>
    </row>
    <row r="126" spans="1:12" ht="13.35" customHeight="1" x14ac:dyDescent="0.2"/>
    <row r="127" spans="1:12" s="19" customFormat="1" ht="12.15" customHeight="1" x14ac:dyDescent="0.25">
      <c r="A127" s="20" t="s">
        <v>141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spans="1:12" ht="10.95" customHeight="1" x14ac:dyDescent="0.2">
      <c r="A128" s="23" t="s">
        <v>140</v>
      </c>
      <c r="B128" s="32">
        <v>46182</v>
      </c>
      <c r="C128" s="32">
        <v>46212</v>
      </c>
      <c r="D128" s="23" t="s">
        <v>139</v>
      </c>
      <c r="E128" s="31">
        <v>88269.5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23"/>
      <c r="L128" s="31">
        <v>88269.5</v>
      </c>
    </row>
    <row r="129" spans="1:12" ht="10.95" customHeight="1" x14ac:dyDescent="0.2">
      <c r="A129" s="21" t="s">
        <v>137</v>
      </c>
      <c r="B129" s="34">
        <v>46183</v>
      </c>
      <c r="C129" s="34">
        <v>46213</v>
      </c>
      <c r="D129" s="21" t="s">
        <v>138</v>
      </c>
      <c r="E129" s="33">
        <v>21240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21"/>
      <c r="L129" s="33">
        <v>21240</v>
      </c>
    </row>
    <row r="130" spans="1:12" ht="10.95" customHeight="1" x14ac:dyDescent="0.2">
      <c r="A130" s="21" t="s">
        <v>137</v>
      </c>
      <c r="B130" s="34">
        <v>46183</v>
      </c>
      <c r="C130" s="34">
        <v>46213</v>
      </c>
      <c r="D130" s="21" t="s">
        <v>136</v>
      </c>
      <c r="E130" s="33">
        <v>21240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21"/>
      <c r="L130" s="33">
        <v>21240</v>
      </c>
    </row>
    <row r="131" spans="1:12" ht="10.95" customHeight="1" x14ac:dyDescent="0.2">
      <c r="A131" s="21" t="s">
        <v>135</v>
      </c>
      <c r="B131" s="34">
        <v>46188</v>
      </c>
      <c r="C131" s="34">
        <v>46218</v>
      </c>
      <c r="D131" s="21" t="s">
        <v>134</v>
      </c>
      <c r="E131" s="33">
        <v>101960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21"/>
      <c r="L131" s="33">
        <v>101960</v>
      </c>
    </row>
    <row r="132" spans="1:12" ht="10.95" customHeight="1" x14ac:dyDescent="0.2">
      <c r="A132" s="30" t="s">
        <v>133</v>
      </c>
      <c r="B132" s="30"/>
      <c r="C132" s="30"/>
      <c r="D132" s="30"/>
      <c r="E132" s="29">
        <f t="shared" ref="E132:J132" si="11">SUM(E128:E131)</f>
        <v>232709.5</v>
      </c>
      <c r="F132" s="29">
        <f t="shared" si="11"/>
        <v>0</v>
      </c>
      <c r="G132" s="29">
        <f t="shared" si="11"/>
        <v>0</v>
      </c>
      <c r="H132" s="29">
        <f t="shared" si="11"/>
        <v>0</v>
      </c>
      <c r="I132" s="29">
        <f t="shared" si="11"/>
        <v>0</v>
      </c>
      <c r="J132" s="29">
        <f t="shared" si="11"/>
        <v>0</v>
      </c>
      <c r="K132" s="30"/>
      <c r="L132" s="29">
        <f>SUM(L128:L131)</f>
        <v>232709.5</v>
      </c>
    </row>
    <row r="133" spans="1:12" ht="13.35" customHeight="1" x14ac:dyDescent="0.2"/>
    <row r="134" spans="1:12" s="19" customFormat="1" ht="12.15" customHeight="1" x14ac:dyDescent="0.25">
      <c r="A134" s="20" t="s">
        <v>132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spans="1:12" ht="10.95" customHeight="1" x14ac:dyDescent="0.2">
      <c r="A135" s="23" t="s">
        <v>131</v>
      </c>
      <c r="B135" s="32">
        <v>46157</v>
      </c>
      <c r="C135" s="32">
        <v>46157</v>
      </c>
      <c r="D135" s="23" t="s">
        <v>130</v>
      </c>
      <c r="E135" s="31">
        <v>0</v>
      </c>
      <c r="F135" s="31">
        <v>0</v>
      </c>
      <c r="G135" s="31">
        <v>31860</v>
      </c>
      <c r="H135" s="31">
        <v>0</v>
      </c>
      <c r="I135" s="31">
        <v>0</v>
      </c>
      <c r="J135" s="31">
        <v>0</v>
      </c>
      <c r="K135" s="23"/>
      <c r="L135" s="31">
        <v>31860</v>
      </c>
    </row>
    <row r="136" spans="1:12" ht="10.95" customHeight="1" x14ac:dyDescent="0.2">
      <c r="A136" s="21" t="s">
        <v>129</v>
      </c>
      <c r="B136" s="34">
        <v>46195</v>
      </c>
      <c r="C136" s="34">
        <v>46195</v>
      </c>
      <c r="D136" s="21" t="s">
        <v>128</v>
      </c>
      <c r="E136" s="33">
        <v>0</v>
      </c>
      <c r="F136" s="33">
        <v>207262.07</v>
      </c>
      <c r="G136" s="33">
        <v>0</v>
      </c>
      <c r="H136" s="33">
        <v>0</v>
      </c>
      <c r="I136" s="33">
        <v>0</v>
      </c>
      <c r="J136" s="33">
        <v>0</v>
      </c>
      <c r="K136" s="21"/>
      <c r="L136" s="33">
        <v>207262.07</v>
      </c>
    </row>
    <row r="137" spans="1:12" ht="10.95" customHeight="1" x14ac:dyDescent="0.2">
      <c r="A137" s="30" t="s">
        <v>127</v>
      </c>
      <c r="B137" s="30"/>
      <c r="C137" s="30"/>
      <c r="D137" s="30"/>
      <c r="E137" s="29">
        <f t="shared" ref="E137:J137" si="12">SUM(E135:E136)</f>
        <v>0</v>
      </c>
      <c r="F137" s="29">
        <f t="shared" si="12"/>
        <v>207262.07</v>
      </c>
      <c r="G137" s="29">
        <f t="shared" si="12"/>
        <v>31860</v>
      </c>
      <c r="H137" s="29">
        <f t="shared" si="12"/>
        <v>0</v>
      </c>
      <c r="I137" s="29">
        <f t="shared" si="12"/>
        <v>0</v>
      </c>
      <c r="J137" s="29">
        <f t="shared" si="12"/>
        <v>0</v>
      </c>
      <c r="K137" s="30"/>
      <c r="L137" s="29">
        <f>SUM(L135:L136)</f>
        <v>239122.07</v>
      </c>
    </row>
    <row r="138" spans="1:12" ht="13.35" customHeight="1" x14ac:dyDescent="0.2"/>
    <row r="139" spans="1:12" s="19" customFormat="1" ht="12.15" customHeight="1" x14ac:dyDescent="0.25">
      <c r="A139" s="20" t="s">
        <v>126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spans="1:12" ht="10.95" customHeight="1" x14ac:dyDescent="0.2">
      <c r="A140" s="23" t="s">
        <v>125</v>
      </c>
      <c r="B140" s="32">
        <v>46112</v>
      </c>
      <c r="C140" s="32">
        <v>46112</v>
      </c>
      <c r="D140" s="23" t="s">
        <v>124</v>
      </c>
      <c r="E140" s="31">
        <v>0</v>
      </c>
      <c r="F140" s="31">
        <v>0</v>
      </c>
      <c r="G140" s="31">
        <v>0</v>
      </c>
      <c r="H140" s="31">
        <v>0</v>
      </c>
      <c r="I140" s="31">
        <v>111300.56</v>
      </c>
      <c r="J140" s="31">
        <v>0</v>
      </c>
      <c r="K140" s="23"/>
      <c r="L140" s="31">
        <v>111300.56</v>
      </c>
    </row>
    <row r="141" spans="1:12" ht="10.95" customHeight="1" x14ac:dyDescent="0.2">
      <c r="A141" s="21" t="s">
        <v>123</v>
      </c>
      <c r="B141" s="34">
        <v>46163</v>
      </c>
      <c r="C141" s="34">
        <v>46163</v>
      </c>
      <c r="D141" s="21" t="s">
        <v>122</v>
      </c>
      <c r="E141" s="33">
        <v>0</v>
      </c>
      <c r="F141" s="33">
        <v>0</v>
      </c>
      <c r="G141" s="33">
        <v>101730.75</v>
      </c>
      <c r="H141" s="33">
        <v>0</v>
      </c>
      <c r="I141" s="33">
        <v>0</v>
      </c>
      <c r="J141" s="33">
        <v>0</v>
      </c>
      <c r="K141" s="21"/>
      <c r="L141" s="33">
        <v>101730.75</v>
      </c>
    </row>
    <row r="142" spans="1:12" ht="10.95" customHeight="1" x14ac:dyDescent="0.2">
      <c r="A142" s="21" t="s">
        <v>121</v>
      </c>
      <c r="B142" s="34">
        <v>46192</v>
      </c>
      <c r="C142" s="34">
        <v>46199</v>
      </c>
      <c r="D142" s="21" t="s">
        <v>120</v>
      </c>
      <c r="E142" s="33">
        <v>0</v>
      </c>
      <c r="F142" s="33">
        <v>98333.33</v>
      </c>
      <c r="G142" s="33">
        <v>0</v>
      </c>
      <c r="H142" s="33">
        <v>0</v>
      </c>
      <c r="I142" s="33">
        <v>0</v>
      </c>
      <c r="J142" s="33">
        <v>0</v>
      </c>
      <c r="K142" s="21"/>
      <c r="L142" s="33">
        <v>98333.33</v>
      </c>
    </row>
    <row r="143" spans="1:12" ht="10.95" customHeight="1" x14ac:dyDescent="0.2">
      <c r="A143" s="30" t="s">
        <v>119</v>
      </c>
      <c r="B143" s="30"/>
      <c r="C143" s="30"/>
      <c r="D143" s="30"/>
      <c r="E143" s="29">
        <f t="shared" ref="E143:J143" si="13">SUM(E140:E142)</f>
        <v>0</v>
      </c>
      <c r="F143" s="29">
        <f t="shared" si="13"/>
        <v>98333.33</v>
      </c>
      <c r="G143" s="29">
        <f t="shared" si="13"/>
        <v>101730.75</v>
      </c>
      <c r="H143" s="29">
        <f t="shared" si="13"/>
        <v>0</v>
      </c>
      <c r="I143" s="29">
        <f t="shared" si="13"/>
        <v>111300.56</v>
      </c>
      <c r="J143" s="29">
        <f t="shared" si="13"/>
        <v>0</v>
      </c>
      <c r="K143" s="30"/>
      <c r="L143" s="29">
        <f>SUM(L140:L142)</f>
        <v>311364.64</v>
      </c>
    </row>
    <row r="144" spans="1:12" ht="13.35" customHeight="1" x14ac:dyDescent="0.2"/>
    <row r="145" spans="1:12" s="19" customFormat="1" ht="12.15" customHeight="1" x14ac:dyDescent="0.25">
      <c r="A145" s="20" t="s">
        <v>328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spans="1:12" ht="10.95" customHeight="1" x14ac:dyDescent="0.2">
      <c r="A146" s="23" t="s">
        <v>327</v>
      </c>
      <c r="B146" s="32">
        <v>46191</v>
      </c>
      <c r="C146" s="32">
        <v>46191</v>
      </c>
      <c r="D146" s="23" t="s">
        <v>326</v>
      </c>
      <c r="E146" s="31">
        <v>0</v>
      </c>
      <c r="F146" s="31">
        <v>59566.36</v>
      </c>
      <c r="G146" s="31">
        <v>0</v>
      </c>
      <c r="H146" s="31">
        <v>0</v>
      </c>
      <c r="I146" s="31">
        <v>0</v>
      </c>
      <c r="J146" s="31">
        <v>0</v>
      </c>
      <c r="K146" s="23"/>
      <c r="L146" s="31">
        <v>59566.36</v>
      </c>
    </row>
    <row r="147" spans="1:12" ht="10.95" customHeight="1" x14ac:dyDescent="0.2">
      <c r="A147" s="30" t="s">
        <v>325</v>
      </c>
      <c r="B147" s="30"/>
      <c r="C147" s="30"/>
      <c r="D147" s="30"/>
      <c r="E147" s="29">
        <f t="shared" ref="E147:J147" si="14">E146</f>
        <v>0</v>
      </c>
      <c r="F147" s="29">
        <f t="shared" si="14"/>
        <v>59566.36</v>
      </c>
      <c r="G147" s="29">
        <f t="shared" si="14"/>
        <v>0</v>
      </c>
      <c r="H147" s="29">
        <f t="shared" si="14"/>
        <v>0</v>
      </c>
      <c r="I147" s="29">
        <f t="shared" si="14"/>
        <v>0</v>
      </c>
      <c r="J147" s="29">
        <f t="shared" si="14"/>
        <v>0</v>
      </c>
      <c r="K147" s="30"/>
      <c r="L147" s="29">
        <f>L146</f>
        <v>59566.36</v>
      </c>
    </row>
    <row r="148" spans="1:12" ht="13.35" customHeight="1" x14ac:dyDescent="0.2"/>
    <row r="149" spans="1:12" ht="10.95" customHeight="1" x14ac:dyDescent="0.2">
      <c r="A149" s="22" t="s">
        <v>3</v>
      </c>
      <c r="B149" s="22"/>
      <c r="C149" s="22"/>
      <c r="D149" s="22"/>
      <c r="E149" s="28">
        <f t="shared" ref="E149:L149" si="15">SUM(E26,E30,E80,E84,E88,E98,E106,E110,E114,E118,E125,E132,E137,E143,E147)</f>
        <v>11183495.340000002</v>
      </c>
      <c r="F149" s="28">
        <f t="shared" si="15"/>
        <v>7199679.4000000004</v>
      </c>
      <c r="G149" s="28">
        <f t="shared" si="15"/>
        <v>147770.75</v>
      </c>
      <c r="H149" s="28">
        <f t="shared" si="15"/>
        <v>0</v>
      </c>
      <c r="I149" s="28">
        <f t="shared" si="15"/>
        <v>111349.95999999999</v>
      </c>
      <c r="J149" s="28">
        <f t="shared" si="15"/>
        <v>-14760.54</v>
      </c>
      <c r="K149" s="28">
        <f t="shared" si="15"/>
        <v>0</v>
      </c>
      <c r="L149" s="28">
        <f t="shared" si="15"/>
        <v>18627534.910000004</v>
      </c>
    </row>
    <row r="150" spans="1:12" ht="13.35" customHeight="1" x14ac:dyDescent="0.2"/>
    <row r="151" spans="1:12" ht="10.95" customHeight="1" x14ac:dyDescent="0.2">
      <c r="A151" s="22" t="s">
        <v>118</v>
      </c>
      <c r="B151" s="22"/>
      <c r="C151" s="22"/>
      <c r="D151" s="22"/>
      <c r="E151" s="27">
        <f>(SUM(E26,E30,E80,E84,E88,E98,E106,E110,E114,E118,E125,E132,E137,E143,E147) / SUM(E26:F26,G26:J26,E30:F30,G30:J30,E80:F80,G80:J80,E84:F84,G84:J84,E88:F88,G88:J88,E98:F98,G98:J98,E106:F106,G106:J106,E110:F110,G110:J110,E114:F114,G114:J114,E118:F118,G118:J118,E125:F125,G125:J125,E132:F132,G132:J132,E137:F137,G137:J137,E143:F143,G143:J143,E147:F147,G147:J147))</f>
        <v>0.60037441314879825</v>
      </c>
      <c r="F151" s="27">
        <f>(SUM(F26,F30,F80,F84,F88,F98,F106,F110,F114,F118,F125,F132,F137,F143,F147) / SUM(F26:F26,H26:K26,F30:F30,H30:K30,F80:F80,H80:K80,F84:F84,H84:K84,F88:F88,H88:K88,F98:F98,H98:K98,F106:F106,H106:K106,F110:F110,H110:K110,F114:F114,H114:K114,F118:F118,H118:K118,F125:F125,H125:K125,F132:F132,H132:K132,F137:F137,H137:K137,F143:F143,H143:K143,F147:F147,H147:K147))</f>
        <v>0.98676180628991683</v>
      </c>
      <c r="G151" s="27">
        <f t="shared" ref="G151:L151" si="16">(SUM(G26,G30,G80,G84,G88,G98,G106,G110,G114,G118,G125,G132,G137,G143,G147) / SUM(G26:H26,J26:M26,G30:H30,J30:M30,G80:H80,J80:M80,G84:H84,J84:M84,G88:H88,J88:M88,G98:H98,J98:M98,G106:H106,J106:M106,G110:H110,J110:M110,G114:H114,J114:M114,G118:H118,J118:M118,G125:H125,J125:M125,G132:H132,J132:M132,G137:H137,J137:M137,G143:H143,J143:M143,G147:H147,J147:M147))</f>
        <v>7.8766767732386632E-3</v>
      </c>
      <c r="H151" s="27">
        <f t="shared" si="16"/>
        <v>0</v>
      </c>
      <c r="I151" s="27">
        <f t="shared" si="16"/>
        <v>5.9468714284060713E-3</v>
      </c>
      <c r="J151" s="27">
        <f t="shared" si="16"/>
        <v>1</v>
      </c>
      <c r="K151" s="27">
        <f t="shared" si="16"/>
        <v>0</v>
      </c>
      <c r="L151" s="27">
        <f t="shared" si="16"/>
        <v>1</v>
      </c>
    </row>
    <row r="152" spans="1:12" ht="13.35" customHeight="1" x14ac:dyDescent="0.2"/>
    <row r="153" spans="1:12" ht="13.35" customHeight="1" x14ac:dyDescent="0.2"/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D0FD-9655-4EC4-9D22-525D1AE3119A}">
  <dimension ref="A1:G28"/>
  <sheetViews>
    <sheetView workbookViewId="0">
      <selection activeCell="G17" sqref="G17"/>
    </sheetView>
  </sheetViews>
  <sheetFormatPr baseColWidth="10" defaultRowHeight="14.4" x14ac:dyDescent="0.3"/>
  <cols>
    <col min="1" max="1" width="52.88671875" bestFit="1" customWidth="1"/>
    <col min="2" max="2" width="20.44140625" bestFit="1" customWidth="1"/>
    <col min="4" max="4" width="13.77734375" style="2" bestFit="1" customWidth="1"/>
    <col min="5" max="5" width="12.77734375" style="2" bestFit="1" customWidth="1"/>
    <col min="6" max="6" width="27.6640625" customWidth="1"/>
    <col min="7" max="7" width="37.2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spans="1:7" x14ac:dyDescent="0.3">
      <c r="A2" t="s">
        <v>59</v>
      </c>
      <c r="B2" t="s">
        <v>60</v>
      </c>
      <c r="C2" s="1">
        <v>45266</v>
      </c>
      <c r="D2" s="2">
        <v>273000</v>
      </c>
      <c r="E2" s="2">
        <v>273000</v>
      </c>
      <c r="F2" t="s">
        <v>61</v>
      </c>
      <c r="G2" t="s">
        <v>62</v>
      </c>
    </row>
    <row r="3" spans="1:7" x14ac:dyDescent="0.3">
      <c r="A3" t="s">
        <v>12</v>
      </c>
      <c r="B3" t="s">
        <v>13</v>
      </c>
      <c r="C3" s="1">
        <v>46203</v>
      </c>
      <c r="D3" s="2">
        <v>567718.80000000005</v>
      </c>
      <c r="E3" s="2">
        <v>567718.80000000005</v>
      </c>
      <c r="F3" t="s">
        <v>14</v>
      </c>
      <c r="G3" t="s">
        <v>15</v>
      </c>
    </row>
    <row r="4" spans="1:7" x14ac:dyDescent="0.3">
      <c r="A4" t="s">
        <v>16</v>
      </c>
      <c r="B4" t="s">
        <v>17</v>
      </c>
      <c r="C4" s="1">
        <v>46190</v>
      </c>
      <c r="D4" s="2">
        <v>27010.57</v>
      </c>
      <c r="E4" s="2">
        <v>27010.57</v>
      </c>
      <c r="F4" t="s">
        <v>18</v>
      </c>
      <c r="G4" t="s">
        <v>15</v>
      </c>
    </row>
    <row r="5" spans="1:7" x14ac:dyDescent="0.3">
      <c r="A5" t="s">
        <v>12</v>
      </c>
      <c r="B5" t="s">
        <v>19</v>
      </c>
      <c r="C5" s="1">
        <v>46203</v>
      </c>
      <c r="D5" s="2">
        <v>625800</v>
      </c>
      <c r="E5" s="2">
        <v>625800</v>
      </c>
      <c r="F5" t="s">
        <v>20</v>
      </c>
      <c r="G5" t="s">
        <v>15</v>
      </c>
    </row>
    <row r="6" spans="1:7" x14ac:dyDescent="0.3">
      <c r="A6" t="s">
        <v>21</v>
      </c>
      <c r="B6" t="s">
        <v>22</v>
      </c>
      <c r="C6" s="1">
        <v>46169</v>
      </c>
      <c r="D6" s="2">
        <v>2351900.84</v>
      </c>
      <c r="E6" s="2">
        <f>1417323.54+114905.44</f>
        <v>1532228.98</v>
      </c>
      <c r="F6" t="s">
        <v>23</v>
      </c>
      <c r="G6" t="s">
        <v>15</v>
      </c>
    </row>
    <row r="7" spans="1:7" x14ac:dyDescent="0.3">
      <c r="A7" t="s">
        <v>39</v>
      </c>
      <c r="B7" t="s">
        <v>40</v>
      </c>
      <c r="C7" s="1">
        <v>46157</v>
      </c>
      <c r="D7" s="2">
        <v>64000</v>
      </c>
      <c r="E7" s="2">
        <v>64000</v>
      </c>
      <c r="F7" t="s">
        <v>41</v>
      </c>
      <c r="G7" t="s">
        <v>15</v>
      </c>
    </row>
    <row r="8" spans="1:7" x14ac:dyDescent="0.3">
      <c r="A8" t="s">
        <v>34</v>
      </c>
      <c r="B8" t="s">
        <v>42</v>
      </c>
      <c r="C8" s="1">
        <v>46199</v>
      </c>
      <c r="D8" s="2">
        <v>111300</v>
      </c>
      <c r="E8" s="2">
        <v>111300</v>
      </c>
      <c r="F8" t="s">
        <v>43</v>
      </c>
      <c r="G8" t="s">
        <v>15</v>
      </c>
    </row>
    <row r="9" spans="1:7" x14ac:dyDescent="0.3">
      <c r="A9" t="s">
        <v>56</v>
      </c>
      <c r="B9" t="s">
        <v>57</v>
      </c>
      <c r="C9" s="1">
        <v>46150</v>
      </c>
      <c r="D9" s="2">
        <v>26350</v>
      </c>
      <c r="E9" s="2">
        <v>26350</v>
      </c>
      <c r="F9" t="s">
        <v>58</v>
      </c>
      <c r="G9" t="s">
        <v>15</v>
      </c>
    </row>
    <row r="10" spans="1:7" x14ac:dyDescent="0.3">
      <c r="A10" t="s">
        <v>63</v>
      </c>
      <c r="B10" t="s">
        <v>64</v>
      </c>
      <c r="C10" s="1">
        <v>46203</v>
      </c>
      <c r="D10" s="2">
        <v>160430</v>
      </c>
      <c r="E10" s="2">
        <v>160430</v>
      </c>
      <c r="F10" t="s">
        <v>65</v>
      </c>
      <c r="G10" t="s">
        <v>15</v>
      </c>
    </row>
    <row r="11" spans="1:7" x14ac:dyDescent="0.3">
      <c r="A11" t="s">
        <v>84</v>
      </c>
      <c r="B11" t="s">
        <v>85</v>
      </c>
      <c r="C11" s="1">
        <v>46202</v>
      </c>
      <c r="D11" s="2">
        <v>86453.88</v>
      </c>
      <c r="E11" s="2">
        <v>86453.88</v>
      </c>
      <c r="F11" t="s">
        <v>86</v>
      </c>
      <c r="G11" t="s">
        <v>15</v>
      </c>
    </row>
    <row r="12" spans="1:7" x14ac:dyDescent="0.3">
      <c r="A12" t="s">
        <v>27</v>
      </c>
      <c r="B12" t="s">
        <v>28</v>
      </c>
      <c r="C12" s="1">
        <v>46191</v>
      </c>
      <c r="D12" s="2">
        <v>13216</v>
      </c>
      <c r="E12" s="2">
        <v>13216</v>
      </c>
      <c r="F12" t="s">
        <v>29</v>
      </c>
      <c r="G12" t="s">
        <v>30</v>
      </c>
    </row>
    <row r="13" spans="1:7" x14ac:dyDescent="0.3">
      <c r="A13" t="s">
        <v>31</v>
      </c>
      <c r="B13" t="s">
        <v>32</v>
      </c>
      <c r="C13" s="1">
        <v>46203</v>
      </c>
      <c r="D13" s="2">
        <v>51587.64</v>
      </c>
      <c r="E13" s="2">
        <v>51587.64</v>
      </c>
      <c r="F13" t="s">
        <v>33</v>
      </c>
      <c r="G13" t="s">
        <v>30</v>
      </c>
    </row>
    <row r="14" spans="1:7" x14ac:dyDescent="0.3">
      <c r="A14" t="s">
        <v>34</v>
      </c>
      <c r="B14" t="s">
        <v>35</v>
      </c>
      <c r="C14" s="1">
        <v>46155</v>
      </c>
      <c r="D14" s="2">
        <v>455200</v>
      </c>
      <c r="E14" s="2">
        <v>455200</v>
      </c>
      <c r="F14" t="s">
        <v>36</v>
      </c>
      <c r="G14" t="s">
        <v>30</v>
      </c>
    </row>
    <row r="15" spans="1:7" x14ac:dyDescent="0.3">
      <c r="A15" t="s">
        <v>31</v>
      </c>
      <c r="B15" t="s">
        <v>37</v>
      </c>
      <c r="C15" s="1">
        <v>46163</v>
      </c>
      <c r="D15" s="2">
        <v>51587.64</v>
      </c>
      <c r="E15" s="2">
        <v>51587.64</v>
      </c>
      <c r="F15" t="s">
        <v>38</v>
      </c>
      <c r="G15" t="s">
        <v>30</v>
      </c>
    </row>
    <row r="16" spans="1:7" x14ac:dyDescent="0.3">
      <c r="A16" t="s">
        <v>16</v>
      </c>
      <c r="B16" t="s">
        <v>46</v>
      </c>
      <c r="C16" s="1">
        <v>46190</v>
      </c>
      <c r="D16" s="2">
        <v>2195930.65</v>
      </c>
      <c r="E16" s="2">
        <v>2195930.65</v>
      </c>
      <c r="F16" t="s">
        <v>47</v>
      </c>
      <c r="G16" t="s">
        <v>30</v>
      </c>
    </row>
    <row r="17" spans="1:7" x14ac:dyDescent="0.3">
      <c r="A17" t="s">
        <v>27</v>
      </c>
      <c r="B17" t="s">
        <v>44</v>
      </c>
      <c r="C17" s="1">
        <v>46191</v>
      </c>
      <c r="D17" s="2">
        <v>5268</v>
      </c>
      <c r="E17" s="2">
        <v>5268</v>
      </c>
      <c r="F17" t="s">
        <v>45</v>
      </c>
      <c r="G17" t="s">
        <v>30</v>
      </c>
    </row>
    <row r="18" spans="1:7" x14ac:dyDescent="0.3">
      <c r="A18" t="s">
        <v>66</v>
      </c>
      <c r="B18" t="s">
        <v>67</v>
      </c>
      <c r="C18" s="1">
        <v>46094</v>
      </c>
      <c r="D18" s="2">
        <v>60180</v>
      </c>
      <c r="E18" s="2">
        <v>60180</v>
      </c>
      <c r="F18" t="s">
        <v>68</v>
      </c>
      <c r="G18" t="s">
        <v>30</v>
      </c>
    </row>
    <row r="19" spans="1:7" x14ac:dyDescent="0.3">
      <c r="A19" t="s">
        <v>69</v>
      </c>
      <c r="B19" t="s">
        <v>70</v>
      </c>
      <c r="C19" s="1">
        <v>46203</v>
      </c>
      <c r="D19" s="2">
        <v>689910.09</v>
      </c>
      <c r="E19" s="2">
        <v>689910.09</v>
      </c>
      <c r="F19" t="s">
        <v>71</v>
      </c>
      <c r="G19" t="s">
        <v>30</v>
      </c>
    </row>
    <row r="20" spans="1:7" x14ac:dyDescent="0.3">
      <c r="A20" t="s">
        <v>75</v>
      </c>
      <c r="B20" t="s">
        <v>76</v>
      </c>
      <c r="C20" s="1">
        <v>46203</v>
      </c>
      <c r="D20" s="2">
        <v>57388.78</v>
      </c>
      <c r="E20" s="2">
        <v>57388.78</v>
      </c>
      <c r="F20" t="s">
        <v>77</v>
      </c>
      <c r="G20" t="s">
        <v>30</v>
      </c>
    </row>
    <row r="21" spans="1:7" x14ac:dyDescent="0.3">
      <c r="A21" t="s">
        <v>78</v>
      </c>
      <c r="B21" t="s">
        <v>79</v>
      </c>
      <c r="C21" s="1">
        <v>46199</v>
      </c>
      <c r="D21" s="2">
        <v>14124.6</v>
      </c>
      <c r="E21" s="2">
        <v>14124.6</v>
      </c>
      <c r="F21" t="s">
        <v>80</v>
      </c>
      <c r="G21" t="s">
        <v>30</v>
      </c>
    </row>
    <row r="22" spans="1:7" x14ac:dyDescent="0.3">
      <c r="A22" t="s">
        <v>81</v>
      </c>
      <c r="B22" t="s">
        <v>82</v>
      </c>
      <c r="C22" s="1">
        <v>46162</v>
      </c>
      <c r="D22" s="2">
        <v>449858.6</v>
      </c>
      <c r="E22" s="2">
        <v>449858.6</v>
      </c>
      <c r="F22" t="s">
        <v>83</v>
      </c>
      <c r="G22" t="s">
        <v>30</v>
      </c>
    </row>
    <row r="23" spans="1:7" x14ac:dyDescent="0.3">
      <c r="A23" t="s">
        <v>7</v>
      </c>
      <c r="B23" t="s">
        <v>8</v>
      </c>
      <c r="C23" s="1">
        <v>46073</v>
      </c>
      <c r="D23" s="2">
        <v>47500</v>
      </c>
      <c r="E23" s="2">
        <v>47500</v>
      </c>
      <c r="F23" t="s">
        <v>9</v>
      </c>
      <c r="G23" t="s">
        <v>11</v>
      </c>
    </row>
    <row r="24" spans="1:7" x14ac:dyDescent="0.3">
      <c r="A24" t="s">
        <v>24</v>
      </c>
      <c r="B24" t="s">
        <v>25</v>
      </c>
      <c r="C24" s="1">
        <v>46169</v>
      </c>
      <c r="D24" s="2">
        <v>5700</v>
      </c>
      <c r="E24" s="2">
        <v>700</v>
      </c>
      <c r="F24" t="s">
        <v>26</v>
      </c>
      <c r="G24" t="s">
        <v>11</v>
      </c>
    </row>
    <row r="25" spans="1:7" x14ac:dyDescent="0.3">
      <c r="A25" t="s">
        <v>48</v>
      </c>
      <c r="B25" t="s">
        <v>49</v>
      </c>
      <c r="C25" s="1">
        <v>46042</v>
      </c>
      <c r="D25" s="2">
        <v>8500</v>
      </c>
      <c r="E25" s="2">
        <v>8500</v>
      </c>
      <c r="F25" t="s">
        <v>50</v>
      </c>
      <c r="G25" t="s">
        <v>11</v>
      </c>
    </row>
    <row r="26" spans="1:7" x14ac:dyDescent="0.3">
      <c r="A26" t="s">
        <v>51</v>
      </c>
      <c r="B26" t="s">
        <v>52</v>
      </c>
      <c r="C26" s="1">
        <v>46135</v>
      </c>
      <c r="D26" s="2">
        <v>1628532.75</v>
      </c>
      <c r="E26" s="2">
        <v>1628532.75</v>
      </c>
      <c r="F26" t="s">
        <v>53</v>
      </c>
      <c r="G26" t="s">
        <v>11</v>
      </c>
    </row>
    <row r="27" spans="1:7" x14ac:dyDescent="0.3">
      <c r="A27" t="s">
        <v>72</v>
      </c>
      <c r="B27" t="s">
        <v>73</v>
      </c>
      <c r="C27" s="1">
        <v>45936</v>
      </c>
      <c r="D27" s="2">
        <v>6671.88</v>
      </c>
      <c r="E27" s="2">
        <v>6671.88</v>
      </c>
      <c r="F27" t="s">
        <v>74</v>
      </c>
      <c r="G27" t="s">
        <v>11</v>
      </c>
    </row>
    <row r="28" spans="1:7" x14ac:dyDescent="0.3">
      <c r="D28" s="2">
        <f>SUM(D2:D27)</f>
        <v>10035120.720000001</v>
      </c>
      <c r="E28" s="2">
        <f>SUM(E2:E27)</f>
        <v>9210448.8600000013</v>
      </c>
      <c r="F28" s="2">
        <f>SUM(F2:F27)</f>
        <v>0</v>
      </c>
    </row>
  </sheetData>
  <autoFilter ref="A1:G1" xr:uid="{A599D0FD-9655-4EC4-9D22-525D1AE3119A}">
    <sortState xmlns:xlrd2="http://schemas.microsoft.com/office/spreadsheetml/2017/richdata2" ref="A2:G29">
      <sortCondition ref="G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B625-B6AC-4777-83C0-DE3B9FABF6CB}">
  <dimension ref="A1:F63"/>
  <sheetViews>
    <sheetView showGridLines="0" tabSelected="1" topLeftCell="A25" zoomScaleNormal="100" workbookViewId="0">
      <selection activeCell="D45" sqref="D45"/>
    </sheetView>
  </sheetViews>
  <sheetFormatPr baseColWidth="10" defaultColWidth="8" defaultRowHeight="11.4" x14ac:dyDescent="0.2"/>
  <cols>
    <col min="1" max="1" width="1.21875" style="18" customWidth="1"/>
    <col min="2" max="2" width="42.6640625" style="18" customWidth="1"/>
    <col min="3" max="3" width="13.33203125" style="18" customWidth="1"/>
    <col min="4" max="4" width="4.88671875" style="18" customWidth="1"/>
    <col min="5" max="5" width="12.44140625" style="18" bestFit="1" customWidth="1"/>
    <col min="6" max="6" width="10.6640625" style="18" bestFit="1" customWidth="1"/>
    <col min="7" max="16384" width="8" style="18"/>
  </cols>
  <sheetData>
    <row r="1" spans="1:4" s="16" customFormat="1" ht="16.649999999999999" customHeight="1" x14ac:dyDescent="0.3">
      <c r="A1" s="38" t="s">
        <v>324</v>
      </c>
      <c r="B1" s="38"/>
      <c r="C1" s="38"/>
      <c r="D1" s="38"/>
    </row>
    <row r="2" spans="1:4" s="17" customFormat="1" ht="14.4" customHeight="1" x14ac:dyDescent="0.25">
      <c r="A2" s="37" t="s">
        <v>113</v>
      </c>
      <c r="B2" s="37"/>
      <c r="C2" s="37"/>
      <c r="D2" s="37"/>
    </row>
    <row r="3" spans="1:4" s="17" customFormat="1" ht="14.4" customHeight="1" x14ac:dyDescent="0.25">
      <c r="A3" s="37" t="s">
        <v>273</v>
      </c>
      <c r="B3" s="37"/>
      <c r="C3" s="37"/>
      <c r="D3" s="37"/>
    </row>
    <row r="4" spans="1:4" ht="13.35" customHeight="1" x14ac:dyDescent="0.2"/>
    <row r="5" spans="1:4" s="19" customFormat="1" ht="12.15" customHeight="1" x14ac:dyDescent="0.25">
      <c r="A5" s="20"/>
      <c r="B5" s="36" t="s">
        <v>111</v>
      </c>
      <c r="C5" s="35" t="s">
        <v>116</v>
      </c>
      <c r="D5" s="35"/>
    </row>
    <row r="6" spans="1:4" ht="13.35" customHeight="1" x14ac:dyDescent="0.2"/>
    <row r="7" spans="1:4" s="19" customFormat="1" ht="12.15" customHeight="1" x14ac:dyDescent="0.25">
      <c r="A7" s="20" t="s">
        <v>323</v>
      </c>
      <c r="B7" s="20"/>
      <c r="C7" s="20"/>
      <c r="D7" s="20"/>
    </row>
    <row r="8" spans="1:4" ht="10.95" customHeight="1" x14ac:dyDescent="0.2">
      <c r="A8" s="41"/>
      <c r="B8" s="41" t="s">
        <v>322</v>
      </c>
      <c r="C8" s="41"/>
      <c r="D8" s="41"/>
    </row>
    <row r="9" spans="1:4" ht="10.95" customHeight="1" x14ac:dyDescent="0.2">
      <c r="B9" s="21" t="s">
        <v>321</v>
      </c>
      <c r="C9" s="33">
        <v>20485843.719999999</v>
      </c>
      <c r="D9" s="21"/>
    </row>
    <row r="10" spans="1:4" ht="10.95" customHeight="1" x14ac:dyDescent="0.2">
      <c r="B10" s="21" t="s">
        <v>320</v>
      </c>
      <c r="C10" s="33">
        <v>16604331.060000001</v>
      </c>
      <c r="D10" s="21"/>
    </row>
    <row r="11" spans="1:4" ht="10.95" customHeight="1" x14ac:dyDescent="0.2">
      <c r="B11" s="21" t="s">
        <v>319</v>
      </c>
      <c r="C11" s="33">
        <v>2615906</v>
      </c>
      <c r="D11" s="21" t="s">
        <v>157</v>
      </c>
    </row>
    <row r="12" spans="1:4" ht="10.95" customHeight="1" x14ac:dyDescent="0.2">
      <c r="B12" s="21" t="s">
        <v>318</v>
      </c>
      <c r="C12" s="33">
        <v>5003923.04</v>
      </c>
      <c r="D12" s="21" t="s">
        <v>157</v>
      </c>
    </row>
    <row r="13" spans="1:4" ht="10.95" customHeight="1" x14ac:dyDescent="0.2">
      <c r="B13" s="21" t="s">
        <v>317</v>
      </c>
      <c r="C13" s="33">
        <v>254058.85</v>
      </c>
      <c r="D13" s="21" t="s">
        <v>157</v>
      </c>
    </row>
    <row r="14" spans="1:4" ht="10.95" customHeight="1" x14ac:dyDescent="0.2">
      <c r="B14" s="21" t="s">
        <v>316</v>
      </c>
      <c r="C14" s="33">
        <v>23157.58</v>
      </c>
      <c r="D14" s="21"/>
    </row>
    <row r="15" spans="1:4" ht="10.95" customHeight="1" x14ac:dyDescent="0.2">
      <c r="B15" s="21" t="s">
        <v>315</v>
      </c>
      <c r="C15" s="33">
        <v>3207819.87</v>
      </c>
      <c r="D15" s="21" t="s">
        <v>157</v>
      </c>
    </row>
    <row r="16" spans="1:4" ht="10.95" customHeight="1" x14ac:dyDescent="0.2">
      <c r="B16" s="21" t="s">
        <v>314</v>
      </c>
      <c r="C16" s="33">
        <v>39249.18</v>
      </c>
      <c r="D16" s="21"/>
    </row>
    <row r="17" spans="1:4" ht="10.95" customHeight="1" x14ac:dyDescent="0.2">
      <c r="B17" s="30" t="s">
        <v>313</v>
      </c>
      <c r="C17" s="29">
        <f>SUM(C9:C16)</f>
        <v>48234289.299999997</v>
      </c>
      <c r="D17" s="30"/>
    </row>
    <row r="18" spans="1:4" ht="10.95" customHeight="1" x14ac:dyDescent="0.2">
      <c r="A18" s="41"/>
      <c r="B18" s="41" t="s">
        <v>312</v>
      </c>
      <c r="C18" s="41"/>
      <c r="D18" s="41"/>
    </row>
    <row r="19" spans="1:4" ht="10.95" customHeight="1" x14ac:dyDescent="0.2">
      <c r="B19" s="21" t="s">
        <v>311</v>
      </c>
      <c r="C19" s="33">
        <v>9210448.9399999995</v>
      </c>
      <c r="D19" s="21"/>
    </row>
    <row r="20" spans="1:4" ht="10.95" customHeight="1" x14ac:dyDescent="0.2">
      <c r="B20" s="30" t="s">
        <v>310</v>
      </c>
      <c r="C20" s="29">
        <f>C19</f>
        <v>9210448.9399999995</v>
      </c>
      <c r="D20" s="30"/>
    </row>
    <row r="21" spans="1:4" ht="10.95" customHeight="1" x14ac:dyDescent="0.2">
      <c r="A21" s="41"/>
      <c r="B21" s="41" t="s">
        <v>309</v>
      </c>
      <c r="C21" s="41"/>
      <c r="D21" s="41"/>
    </row>
    <row r="22" spans="1:4" ht="10.95" customHeight="1" x14ac:dyDescent="0.2">
      <c r="B22" s="21" t="s">
        <v>308</v>
      </c>
      <c r="C22" s="33">
        <v>551</v>
      </c>
      <c r="D22" s="21"/>
    </row>
    <row r="23" spans="1:4" ht="10.95" customHeight="1" x14ac:dyDescent="0.2">
      <c r="B23" s="21" t="s">
        <v>307</v>
      </c>
      <c r="C23" s="33">
        <v>483466061.30000001</v>
      </c>
      <c r="D23" s="21"/>
    </row>
    <row r="24" spans="1:4" ht="10.95" customHeight="1" x14ac:dyDescent="0.2">
      <c r="B24" s="21" t="s">
        <v>306</v>
      </c>
      <c r="C24" s="33">
        <v>178249023.90000001</v>
      </c>
      <c r="D24" s="21"/>
    </row>
    <row r="25" spans="1:4" ht="10.95" customHeight="1" x14ac:dyDescent="0.2">
      <c r="B25" s="21" t="s">
        <v>305</v>
      </c>
      <c r="C25" s="33">
        <v>40554300.479999997</v>
      </c>
      <c r="D25" s="21"/>
    </row>
    <row r="26" spans="1:4" ht="10.95" customHeight="1" x14ac:dyDescent="0.2">
      <c r="B26" s="30" t="s">
        <v>304</v>
      </c>
      <c r="C26" s="29">
        <f>SUM(C22:C25)</f>
        <v>702269936.68000007</v>
      </c>
      <c r="D26" s="30"/>
    </row>
    <row r="27" spans="1:4" ht="10.95" customHeight="1" x14ac:dyDescent="0.2">
      <c r="A27" s="30" t="s">
        <v>303</v>
      </c>
      <c r="C27" s="29">
        <f>(0 + ((C17 + C20) + C26))</f>
        <v>759714674.92000008</v>
      </c>
      <c r="D27" s="30"/>
    </row>
    <row r="28" spans="1:4" ht="13.35" customHeight="1" x14ac:dyDescent="0.2"/>
    <row r="29" spans="1:4" s="19" customFormat="1" ht="12.15" customHeight="1" x14ac:dyDescent="0.25">
      <c r="A29" s="20" t="s">
        <v>302</v>
      </c>
      <c r="B29" s="20"/>
      <c r="C29" s="20"/>
      <c r="D29" s="20"/>
    </row>
    <row r="30" spans="1:4" ht="10.95" customHeight="1" x14ac:dyDescent="0.2">
      <c r="A30" s="41"/>
      <c r="B30" s="41" t="s">
        <v>301</v>
      </c>
      <c r="C30" s="41"/>
      <c r="D30" s="41"/>
    </row>
    <row r="31" spans="1:4" ht="10.95" customHeight="1" x14ac:dyDescent="0.2">
      <c r="B31" s="21" t="s">
        <v>300</v>
      </c>
      <c r="C31" s="33">
        <v>200000000</v>
      </c>
      <c r="D31" s="21"/>
    </row>
    <row r="32" spans="1:4" ht="10.95" customHeight="1" x14ac:dyDescent="0.2">
      <c r="B32" s="21" t="s">
        <v>299</v>
      </c>
      <c r="C32" s="33">
        <v>148022.39999999999</v>
      </c>
      <c r="D32" s="21" t="s">
        <v>157</v>
      </c>
    </row>
    <row r="33" spans="1:6" ht="10.95" customHeight="1" x14ac:dyDescent="0.2">
      <c r="B33" s="21" t="s">
        <v>298</v>
      </c>
      <c r="C33" s="33">
        <v>18612245.899999999</v>
      </c>
      <c r="D33" s="21" t="s">
        <v>157</v>
      </c>
    </row>
    <row r="34" spans="1:6" ht="10.95" customHeight="1" x14ac:dyDescent="0.2">
      <c r="B34" s="21" t="s">
        <v>297</v>
      </c>
      <c r="C34" s="33">
        <v>220997695.74000001</v>
      </c>
      <c r="D34" s="21"/>
    </row>
    <row r="35" spans="1:6" ht="10.95" customHeight="1" x14ac:dyDescent="0.2">
      <c r="B35" s="21" t="s">
        <v>296</v>
      </c>
      <c r="C35" s="33">
        <v>2021249.29</v>
      </c>
      <c r="D35" s="21"/>
      <c r="E35" s="43"/>
    </row>
    <row r="36" spans="1:6" ht="10.95" customHeight="1" x14ac:dyDescent="0.2">
      <c r="B36" s="21" t="s">
        <v>295</v>
      </c>
      <c r="C36" s="33">
        <v>56826</v>
      </c>
      <c r="D36" s="21"/>
    </row>
    <row r="37" spans="1:6" ht="10.95" customHeight="1" x14ac:dyDescent="0.2">
      <c r="B37" s="21" t="s">
        <v>294</v>
      </c>
      <c r="C37" s="33">
        <v>48349.66</v>
      </c>
      <c r="D37" s="21"/>
    </row>
    <row r="38" spans="1:6" ht="10.95" customHeight="1" x14ac:dyDescent="0.2">
      <c r="B38" s="21" t="s">
        <v>293</v>
      </c>
      <c r="C38" s="33">
        <v>93522.55</v>
      </c>
      <c r="D38" s="21"/>
    </row>
    <row r="39" spans="1:6" ht="10.95" customHeight="1" x14ac:dyDescent="0.2">
      <c r="B39" s="21" t="s">
        <v>292</v>
      </c>
      <c r="C39" s="33">
        <v>412309.11</v>
      </c>
      <c r="D39" s="21"/>
      <c r="F39" s="43"/>
    </row>
    <row r="40" spans="1:6" ht="10.95" customHeight="1" x14ac:dyDescent="0.2">
      <c r="B40" s="21" t="s">
        <v>291</v>
      </c>
      <c r="C40" s="33">
        <v>1107484.95</v>
      </c>
      <c r="D40" s="21"/>
      <c r="F40" s="43"/>
    </row>
    <row r="41" spans="1:6" ht="10.95" customHeight="1" x14ac:dyDescent="0.2">
      <c r="B41" s="21" t="s">
        <v>290</v>
      </c>
      <c r="C41" s="33">
        <v>706625.52</v>
      </c>
      <c r="D41" s="21"/>
    </row>
    <row r="42" spans="1:6" ht="10.95" customHeight="1" x14ac:dyDescent="0.2">
      <c r="B42" s="21" t="s">
        <v>289</v>
      </c>
      <c r="C42" s="33">
        <v>1411944.52</v>
      </c>
      <c r="D42" s="21"/>
    </row>
    <row r="43" spans="1:6" ht="10.95" customHeight="1" x14ac:dyDescent="0.2">
      <c r="B43" s="21" t="s">
        <v>288</v>
      </c>
      <c r="C43" s="33">
        <v>23983.14</v>
      </c>
      <c r="D43" s="21"/>
    </row>
    <row r="44" spans="1:6" ht="10.95" customHeight="1" x14ac:dyDescent="0.2">
      <c r="B44" s="21" t="s">
        <v>287</v>
      </c>
      <c r="C44" s="33">
        <v>138233.07999999999</v>
      </c>
      <c r="D44" s="21"/>
    </row>
    <row r="45" spans="1:6" ht="10.95" customHeight="1" x14ac:dyDescent="0.2">
      <c r="B45" s="21" t="s">
        <v>286</v>
      </c>
      <c r="C45" s="33">
        <v>3.41</v>
      </c>
      <c r="D45" s="21"/>
    </row>
    <row r="46" spans="1:6" ht="10.95" customHeight="1" x14ac:dyDescent="0.2">
      <c r="B46" s="30" t="s">
        <v>285</v>
      </c>
      <c r="C46" s="29">
        <f>SUM(C31:C45)</f>
        <v>445778495.27000004</v>
      </c>
      <c r="D46" s="30"/>
    </row>
    <row r="47" spans="1:6" ht="10.95" customHeight="1" x14ac:dyDescent="0.2">
      <c r="A47" s="41"/>
      <c r="B47" s="41" t="s">
        <v>284</v>
      </c>
      <c r="C47" s="41"/>
      <c r="D47" s="41"/>
    </row>
    <row r="48" spans="1:6" ht="10.95" customHeight="1" x14ac:dyDescent="0.2">
      <c r="B48" s="21" t="s">
        <v>283</v>
      </c>
      <c r="C48" s="33">
        <v>431409.34</v>
      </c>
      <c r="D48" s="21"/>
    </row>
    <row r="49" spans="1:4" ht="10.95" customHeight="1" x14ac:dyDescent="0.2">
      <c r="B49" s="30" t="s">
        <v>282</v>
      </c>
      <c r="C49" s="29">
        <f>C48</f>
        <v>431409.34</v>
      </c>
      <c r="D49" s="30"/>
    </row>
    <row r="50" spans="1:4" ht="10.95" customHeight="1" x14ac:dyDescent="0.2">
      <c r="A50" s="30" t="s">
        <v>281</v>
      </c>
      <c r="C50" s="29">
        <f>(0 + (C46 + C49))</f>
        <v>446209904.61000001</v>
      </c>
      <c r="D50" s="30"/>
    </row>
    <row r="51" spans="1:4" ht="13.35" customHeight="1" x14ac:dyDescent="0.2"/>
    <row r="52" spans="1:4" ht="10.95" customHeight="1" x14ac:dyDescent="0.2">
      <c r="B52" s="22" t="s">
        <v>280</v>
      </c>
      <c r="C52" s="28">
        <f>(C27 - C50)</f>
        <v>313504770.31000006</v>
      </c>
      <c r="D52" s="22"/>
    </row>
    <row r="53" spans="1:4" ht="13.35" customHeight="1" x14ac:dyDescent="0.2"/>
    <row r="54" spans="1:4" s="19" customFormat="1" ht="12.15" customHeight="1" x14ac:dyDescent="0.25">
      <c r="A54" s="20" t="s">
        <v>279</v>
      </c>
      <c r="B54" s="20"/>
      <c r="C54" s="20"/>
      <c r="D54" s="20"/>
    </row>
    <row r="55" spans="1:4" ht="10.95" customHeight="1" x14ac:dyDescent="0.2">
      <c r="B55" s="23" t="s">
        <v>278</v>
      </c>
      <c r="C55" s="31">
        <v>322917733.81</v>
      </c>
      <c r="D55" s="23"/>
    </row>
    <row r="56" spans="1:4" ht="10.95" customHeight="1" x14ac:dyDescent="0.2">
      <c r="B56" s="21" t="s">
        <v>277</v>
      </c>
      <c r="C56" s="33">
        <v>-5939941.9000000004</v>
      </c>
      <c r="D56" s="21"/>
    </row>
    <row r="57" spans="1:4" ht="10.95" customHeight="1" x14ac:dyDescent="0.2">
      <c r="B57" s="21" t="s">
        <v>276</v>
      </c>
      <c r="C57" s="33">
        <v>-3473021.6</v>
      </c>
      <c r="D57" s="21"/>
    </row>
    <row r="58" spans="1:4" ht="10.95" customHeight="1" x14ac:dyDescent="0.2">
      <c r="A58" s="30" t="s">
        <v>275</v>
      </c>
      <c r="C58" s="29">
        <f>SUM(C55:C57)</f>
        <v>313504770.31</v>
      </c>
      <c r="D58" s="30"/>
    </row>
    <row r="59" spans="1:4" ht="13.35" customHeight="1" x14ac:dyDescent="0.2"/>
    <row r="60" spans="1:4" ht="13.35" customHeight="1" x14ac:dyDescent="0.2"/>
    <row r="61" spans="1:4" ht="10.95" customHeight="1" x14ac:dyDescent="0.2">
      <c r="A61" s="39" t="s">
        <v>117</v>
      </c>
    </row>
    <row r="62" spans="1:4" ht="10.95" customHeight="1" x14ac:dyDescent="0.2">
      <c r="A62" s="40" t="s">
        <v>116</v>
      </c>
    </row>
    <row r="63" spans="1:4" ht="10.95" customHeight="1" x14ac:dyDescent="0.2">
      <c r="A63" s="39" t="s">
        <v>115</v>
      </c>
    </row>
  </sheetData>
  <pageMargins left="0.7" right="0.7" top="0.75" bottom="0.75" header="0.3" footer="0.3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Costos acumulados a Jun-26</vt:lpstr>
      <vt:lpstr>Cuentas por Pagar Jun-26</vt:lpstr>
      <vt:lpstr>Anticipos al 06-26</vt:lpstr>
      <vt:lpstr>BCE-06-26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Antonely</dc:creator>
  <cp:lastModifiedBy>Antonely Villalona</cp:lastModifiedBy>
  <dcterms:created xsi:type="dcterms:W3CDTF">2026-07-08T18:54:18Z</dcterms:created>
  <dcterms:modified xsi:type="dcterms:W3CDTF">2026-07-10T19:03:42Z</dcterms:modified>
</cp:coreProperties>
</file>
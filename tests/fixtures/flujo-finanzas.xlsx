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nesto Alvarez\Desktop\Republica Dominicana Septiembre 2017\Araya\Informes\Obra\Julio 2026\"/>
    </mc:Choice>
  </mc:AlternateContent>
  <xr:revisionPtr revIDLastSave="0" documentId="8_{F55ECF01-88A8-44E1-89EE-E6923BA9C33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lujo Completo Reprogramado" sheetId="1" r:id="rId1"/>
    <sheet name="Resumen" sheetId="2" r:id="rId2"/>
    <sheet name="Comparación Mensual" sheetId="3" r:id="rId3"/>
    <sheet name="Reprogramación" sheetId="4" r:id="rId4"/>
    <sheet name="Detalle Presupuesto x Categoría" sheetId="5" r:id="rId5"/>
    <sheet name="Hoja1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6" l="1"/>
  <c r="H11" i="6"/>
  <c r="G11" i="6"/>
  <c r="F11" i="6"/>
  <c r="E11" i="6"/>
  <c r="G46" i="5"/>
  <c r="F46" i="5"/>
  <c r="E46" i="5"/>
  <c r="D46" i="5"/>
  <c r="C46" i="5"/>
  <c r="B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G19" i="5"/>
  <c r="F19" i="5"/>
  <c r="E19" i="5"/>
  <c r="D19" i="5"/>
  <c r="C19" i="5"/>
  <c r="B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C54" i="4"/>
  <c r="B52" i="4"/>
  <c r="C51" i="4"/>
  <c r="D51" i="4" s="1"/>
  <c r="C50" i="4"/>
  <c r="D50" i="4" s="1"/>
  <c r="D49" i="4"/>
  <c r="C49" i="4"/>
  <c r="D48" i="4"/>
  <c r="C48" i="4"/>
  <c r="C47" i="4"/>
  <c r="D47" i="4" s="1"/>
  <c r="D46" i="4"/>
  <c r="C46" i="4"/>
  <c r="D45" i="4"/>
  <c r="C45" i="4"/>
  <c r="D44" i="4"/>
  <c r="C44" i="4"/>
  <c r="C43" i="4"/>
  <c r="D43" i="4" s="1"/>
  <c r="D42" i="4"/>
  <c r="C42" i="4"/>
  <c r="D39" i="4"/>
  <c r="D38" i="4"/>
  <c r="B35" i="4"/>
  <c r="B34" i="4"/>
  <c r="C28" i="4"/>
  <c r="B26" i="4"/>
  <c r="D25" i="4"/>
  <c r="C25" i="4"/>
  <c r="D24" i="4"/>
  <c r="C24" i="4"/>
  <c r="D23" i="4"/>
  <c r="C23" i="4"/>
  <c r="C22" i="4"/>
  <c r="D22" i="4" s="1"/>
  <c r="C21" i="4"/>
  <c r="D21" i="4" s="1"/>
  <c r="D20" i="4"/>
  <c r="C20" i="4"/>
  <c r="D19" i="4"/>
  <c r="C19" i="4"/>
  <c r="C18" i="4"/>
  <c r="D18" i="4" s="1"/>
  <c r="D17" i="4"/>
  <c r="C17" i="4"/>
  <c r="D16" i="4"/>
  <c r="C16" i="4"/>
  <c r="C14" i="4"/>
  <c r="D13" i="4"/>
  <c r="D12" i="4"/>
  <c r="B9" i="4"/>
  <c r="B27" i="4" s="1"/>
  <c r="B8" i="4"/>
  <c r="H13" i="3"/>
  <c r="G13" i="3"/>
  <c r="F13" i="3"/>
  <c r="C13" i="3"/>
  <c r="B13" i="3"/>
  <c r="D13" i="3" s="1"/>
  <c r="K12" i="3"/>
  <c r="J12" i="3"/>
  <c r="L12" i="3" s="1"/>
  <c r="H12" i="3"/>
  <c r="D12" i="3"/>
  <c r="K11" i="3"/>
  <c r="J11" i="3"/>
  <c r="L11" i="3" s="1"/>
  <c r="H11" i="3"/>
  <c r="D11" i="3"/>
  <c r="K10" i="3"/>
  <c r="J10" i="3"/>
  <c r="L10" i="3" s="1"/>
  <c r="H10" i="3"/>
  <c r="D10" i="3"/>
  <c r="K9" i="3"/>
  <c r="J9" i="3"/>
  <c r="L9" i="3" s="1"/>
  <c r="H9" i="3"/>
  <c r="D9" i="3"/>
  <c r="L8" i="3"/>
  <c r="K8" i="3"/>
  <c r="J8" i="3"/>
  <c r="H8" i="3"/>
  <c r="D8" i="3"/>
  <c r="L7" i="3"/>
  <c r="K7" i="3"/>
  <c r="J7" i="3"/>
  <c r="H7" i="3"/>
  <c r="D7" i="3"/>
  <c r="L6" i="3"/>
  <c r="K6" i="3"/>
  <c r="J6" i="3"/>
  <c r="H6" i="3"/>
  <c r="D6" i="3"/>
  <c r="E6" i="3" s="1"/>
  <c r="E7" i="3" s="1"/>
  <c r="E8" i="3" s="1"/>
  <c r="E9" i="3" s="1"/>
  <c r="E10" i="3" s="1"/>
  <c r="E11" i="3" s="1"/>
  <c r="E12" i="3" s="1"/>
  <c r="E13" i="3" s="1"/>
  <c r="K5" i="3"/>
  <c r="L5" i="3" s="1"/>
  <c r="J5" i="3"/>
  <c r="I5" i="3"/>
  <c r="I6" i="3" s="1"/>
  <c r="I7" i="3" s="1"/>
  <c r="I8" i="3" s="1"/>
  <c r="I9" i="3" s="1"/>
  <c r="I10" i="3" s="1"/>
  <c r="I11" i="3" s="1"/>
  <c r="I12" i="3" s="1"/>
  <c r="I13" i="3" s="1"/>
  <c r="H5" i="3"/>
  <c r="D5" i="3"/>
  <c r="E5" i="3" s="1"/>
  <c r="D7" i="2"/>
  <c r="E7" i="2" s="1"/>
  <c r="C7" i="2"/>
  <c r="B7" i="2"/>
  <c r="E6" i="2"/>
  <c r="D6" i="2"/>
  <c r="D5" i="2"/>
  <c r="E5" i="2" s="1"/>
  <c r="AF93" i="1"/>
  <c r="AE92" i="1"/>
  <c r="AE94" i="1" s="1"/>
  <c r="X92" i="1"/>
  <c r="X94" i="1" s="1"/>
  <c r="W92" i="1"/>
  <c r="W94" i="1" s="1"/>
  <c r="AE90" i="1"/>
  <c r="AD90" i="1"/>
  <c r="AC90" i="1"/>
  <c r="AB90" i="1"/>
  <c r="AA90" i="1"/>
  <c r="Z90" i="1"/>
  <c r="Y90" i="1"/>
  <c r="X90" i="1"/>
  <c r="W90" i="1"/>
  <c r="V89" i="1"/>
  <c r="U89" i="1"/>
  <c r="T89" i="1"/>
  <c r="S89" i="1"/>
  <c r="R89" i="1"/>
  <c r="Q89" i="1"/>
  <c r="P89" i="1"/>
  <c r="O89" i="1"/>
  <c r="N89" i="1"/>
  <c r="M89" i="1"/>
  <c r="C89" i="1"/>
  <c r="V88" i="1"/>
  <c r="U88" i="1"/>
  <c r="T88" i="1"/>
  <c r="S88" i="1"/>
  <c r="R88" i="1"/>
  <c r="Q88" i="1"/>
  <c r="P88" i="1"/>
  <c r="O88" i="1"/>
  <c r="N88" i="1"/>
  <c r="M88" i="1"/>
  <c r="G88" i="1"/>
  <c r="F88" i="1"/>
  <c r="V87" i="1"/>
  <c r="U87" i="1"/>
  <c r="T87" i="1"/>
  <c r="S87" i="1"/>
  <c r="R87" i="1"/>
  <c r="Q87" i="1"/>
  <c r="P87" i="1"/>
  <c r="O87" i="1"/>
  <c r="N87" i="1"/>
  <c r="M87" i="1"/>
  <c r="G87" i="1"/>
  <c r="F87" i="1"/>
  <c r="C87" i="1"/>
  <c r="V86" i="1"/>
  <c r="U86" i="1"/>
  <c r="T86" i="1"/>
  <c r="S86" i="1"/>
  <c r="R86" i="1"/>
  <c r="Q86" i="1"/>
  <c r="P86" i="1"/>
  <c r="O86" i="1"/>
  <c r="N86" i="1"/>
  <c r="M86" i="1"/>
  <c r="I86" i="1"/>
  <c r="G86" i="1"/>
  <c r="V85" i="1"/>
  <c r="U85" i="1"/>
  <c r="T85" i="1"/>
  <c r="S85" i="1"/>
  <c r="R85" i="1"/>
  <c r="Q85" i="1"/>
  <c r="P85" i="1"/>
  <c r="O85" i="1"/>
  <c r="N85" i="1"/>
  <c r="M85" i="1"/>
  <c r="I85" i="1"/>
  <c r="G85" i="1"/>
  <c r="F85" i="1"/>
  <c r="V84" i="1"/>
  <c r="U84" i="1"/>
  <c r="T84" i="1"/>
  <c r="S84" i="1"/>
  <c r="R84" i="1"/>
  <c r="Q84" i="1"/>
  <c r="P84" i="1"/>
  <c r="O84" i="1"/>
  <c r="N84" i="1"/>
  <c r="M84" i="1"/>
  <c r="F84" i="1"/>
  <c r="V83" i="1"/>
  <c r="U83" i="1"/>
  <c r="T83" i="1"/>
  <c r="S83" i="1"/>
  <c r="R83" i="1"/>
  <c r="Q83" i="1"/>
  <c r="P83" i="1"/>
  <c r="O83" i="1"/>
  <c r="N83" i="1"/>
  <c r="M83" i="1"/>
  <c r="I83" i="1"/>
  <c r="G83" i="1"/>
  <c r="F83" i="1"/>
  <c r="V82" i="1"/>
  <c r="U82" i="1"/>
  <c r="T82" i="1"/>
  <c r="S82" i="1"/>
  <c r="R82" i="1"/>
  <c r="Q82" i="1"/>
  <c r="P82" i="1"/>
  <c r="O82" i="1"/>
  <c r="N82" i="1"/>
  <c r="M82" i="1"/>
  <c r="G82" i="1"/>
  <c r="F82" i="1"/>
  <c r="D82" i="1"/>
  <c r="V81" i="1"/>
  <c r="U81" i="1"/>
  <c r="T81" i="1"/>
  <c r="S81" i="1"/>
  <c r="R81" i="1"/>
  <c r="Q81" i="1"/>
  <c r="P81" i="1"/>
  <c r="O81" i="1"/>
  <c r="N81" i="1"/>
  <c r="M81" i="1"/>
  <c r="I81" i="1"/>
  <c r="D81" i="1"/>
  <c r="C81" i="1"/>
  <c r="V80" i="1"/>
  <c r="U80" i="1"/>
  <c r="T80" i="1"/>
  <c r="S80" i="1"/>
  <c r="R80" i="1"/>
  <c r="Q80" i="1"/>
  <c r="P80" i="1"/>
  <c r="O80" i="1"/>
  <c r="N80" i="1"/>
  <c r="M80" i="1"/>
  <c r="I80" i="1"/>
  <c r="G80" i="1"/>
  <c r="F80" i="1"/>
  <c r="V79" i="1"/>
  <c r="U79" i="1"/>
  <c r="T79" i="1"/>
  <c r="S79" i="1"/>
  <c r="R79" i="1"/>
  <c r="Q79" i="1"/>
  <c r="P79" i="1"/>
  <c r="O79" i="1"/>
  <c r="N79" i="1"/>
  <c r="M79" i="1"/>
  <c r="G79" i="1"/>
  <c r="F79" i="1"/>
  <c r="D79" i="1"/>
  <c r="V78" i="1"/>
  <c r="U78" i="1"/>
  <c r="T78" i="1"/>
  <c r="S78" i="1"/>
  <c r="R78" i="1"/>
  <c r="Q78" i="1"/>
  <c r="P78" i="1"/>
  <c r="O78" i="1"/>
  <c r="N78" i="1"/>
  <c r="M78" i="1"/>
  <c r="I78" i="1"/>
  <c r="G78" i="1"/>
  <c r="V77" i="1"/>
  <c r="U77" i="1"/>
  <c r="T77" i="1"/>
  <c r="S77" i="1"/>
  <c r="R77" i="1"/>
  <c r="Q77" i="1"/>
  <c r="P77" i="1"/>
  <c r="O77" i="1"/>
  <c r="N77" i="1"/>
  <c r="M77" i="1"/>
  <c r="I77" i="1"/>
  <c r="G77" i="1"/>
  <c r="F77" i="1"/>
  <c r="V76" i="1"/>
  <c r="U76" i="1"/>
  <c r="T76" i="1"/>
  <c r="S76" i="1"/>
  <c r="R76" i="1"/>
  <c r="Q76" i="1"/>
  <c r="P76" i="1"/>
  <c r="O76" i="1"/>
  <c r="N76" i="1"/>
  <c r="M76" i="1"/>
  <c r="F76" i="1"/>
  <c r="D76" i="1"/>
  <c r="C76" i="1"/>
  <c r="V75" i="1"/>
  <c r="U75" i="1"/>
  <c r="T75" i="1"/>
  <c r="S75" i="1"/>
  <c r="R75" i="1"/>
  <c r="Q75" i="1"/>
  <c r="P75" i="1"/>
  <c r="O75" i="1"/>
  <c r="N75" i="1"/>
  <c r="M75" i="1"/>
  <c r="G75" i="1"/>
  <c r="F75" i="1"/>
  <c r="V74" i="1"/>
  <c r="U74" i="1"/>
  <c r="T74" i="1"/>
  <c r="S74" i="1"/>
  <c r="R74" i="1"/>
  <c r="Q74" i="1"/>
  <c r="P74" i="1"/>
  <c r="O74" i="1"/>
  <c r="N74" i="1"/>
  <c r="M74" i="1"/>
  <c r="G74" i="1"/>
  <c r="F74" i="1"/>
  <c r="C74" i="1"/>
  <c r="V73" i="1"/>
  <c r="U73" i="1"/>
  <c r="T73" i="1"/>
  <c r="S73" i="1"/>
  <c r="R73" i="1"/>
  <c r="Q73" i="1"/>
  <c r="P73" i="1"/>
  <c r="O73" i="1"/>
  <c r="N73" i="1"/>
  <c r="M73" i="1"/>
  <c r="I73" i="1"/>
  <c r="C73" i="1"/>
  <c r="V72" i="1"/>
  <c r="U72" i="1"/>
  <c r="T72" i="1"/>
  <c r="S72" i="1"/>
  <c r="R72" i="1"/>
  <c r="Q72" i="1"/>
  <c r="P72" i="1"/>
  <c r="O72" i="1"/>
  <c r="N72" i="1"/>
  <c r="M72" i="1"/>
  <c r="G72" i="1"/>
  <c r="F72" i="1"/>
  <c r="V71" i="1"/>
  <c r="U71" i="1"/>
  <c r="T71" i="1"/>
  <c r="S71" i="1"/>
  <c r="R71" i="1"/>
  <c r="Q71" i="1"/>
  <c r="P71" i="1"/>
  <c r="O71" i="1"/>
  <c r="N71" i="1"/>
  <c r="M71" i="1"/>
  <c r="G71" i="1"/>
  <c r="F71" i="1"/>
  <c r="E71" i="1"/>
  <c r="V70" i="1"/>
  <c r="U70" i="1"/>
  <c r="T70" i="1"/>
  <c r="S70" i="1"/>
  <c r="R70" i="1"/>
  <c r="Q70" i="1"/>
  <c r="P70" i="1"/>
  <c r="O70" i="1"/>
  <c r="N70" i="1"/>
  <c r="M70" i="1"/>
  <c r="J70" i="1"/>
  <c r="I70" i="1"/>
  <c r="G70" i="1"/>
  <c r="D70" i="1"/>
  <c r="V69" i="1"/>
  <c r="U69" i="1"/>
  <c r="T69" i="1"/>
  <c r="S69" i="1"/>
  <c r="R69" i="1"/>
  <c r="Q69" i="1"/>
  <c r="P69" i="1"/>
  <c r="O69" i="1"/>
  <c r="N69" i="1"/>
  <c r="M69" i="1"/>
  <c r="I69" i="1"/>
  <c r="G69" i="1"/>
  <c r="F69" i="1"/>
  <c r="D69" i="1"/>
  <c r="V68" i="1"/>
  <c r="U68" i="1"/>
  <c r="T68" i="1"/>
  <c r="S68" i="1"/>
  <c r="R68" i="1"/>
  <c r="Q68" i="1"/>
  <c r="P68" i="1"/>
  <c r="O68" i="1"/>
  <c r="N68" i="1"/>
  <c r="N90" i="1" s="1"/>
  <c r="M68" i="1"/>
  <c r="F68" i="1"/>
  <c r="D68" i="1"/>
  <c r="C68" i="1"/>
  <c r="V67" i="1"/>
  <c r="U67" i="1"/>
  <c r="T67" i="1"/>
  <c r="S67" i="1"/>
  <c r="R67" i="1"/>
  <c r="Q67" i="1"/>
  <c r="P67" i="1"/>
  <c r="O67" i="1"/>
  <c r="N67" i="1"/>
  <c r="M67" i="1"/>
  <c r="I67" i="1"/>
  <c r="H67" i="1"/>
  <c r="G67" i="1"/>
  <c r="F67" i="1"/>
  <c r="V66" i="1"/>
  <c r="V90" i="1" s="1"/>
  <c r="U66" i="1"/>
  <c r="U90" i="1" s="1"/>
  <c r="T66" i="1"/>
  <c r="S66" i="1"/>
  <c r="S90" i="1" s="1"/>
  <c r="R66" i="1"/>
  <c r="Q66" i="1"/>
  <c r="P66" i="1"/>
  <c r="P90" i="1" s="1"/>
  <c r="O66" i="1"/>
  <c r="O90" i="1" s="1"/>
  <c r="N66" i="1"/>
  <c r="M66" i="1"/>
  <c r="M90" i="1" s="1"/>
  <c r="G66" i="1"/>
  <c r="F66" i="1"/>
  <c r="C66" i="1"/>
  <c r="AE64" i="1"/>
  <c r="AD64" i="1"/>
  <c r="AD92" i="1" s="1"/>
  <c r="AD94" i="1" s="1"/>
  <c r="AC64" i="1"/>
  <c r="AB64" i="1"/>
  <c r="AB92" i="1" s="1"/>
  <c r="AB94" i="1" s="1"/>
  <c r="AA64" i="1"/>
  <c r="AA92" i="1" s="1"/>
  <c r="AA94" i="1" s="1"/>
  <c r="Z64" i="1"/>
  <c r="Z92" i="1" s="1"/>
  <c r="Z94" i="1" s="1"/>
  <c r="Y64" i="1"/>
  <c r="Y92" i="1" s="1"/>
  <c r="Y94" i="1" s="1"/>
  <c r="X64" i="1"/>
  <c r="W64" i="1"/>
  <c r="B64" i="1"/>
  <c r="V63" i="1"/>
  <c r="U63" i="1"/>
  <c r="T63" i="1"/>
  <c r="S63" i="1"/>
  <c r="R63" i="1"/>
  <c r="Q63" i="1"/>
  <c r="P63" i="1"/>
  <c r="O63" i="1"/>
  <c r="N63" i="1"/>
  <c r="M63" i="1"/>
  <c r="K63" i="1"/>
  <c r="J63" i="1"/>
  <c r="I63" i="1"/>
  <c r="H63" i="1"/>
  <c r="G63" i="1"/>
  <c r="D63" i="1"/>
  <c r="V62" i="1"/>
  <c r="U62" i="1"/>
  <c r="T62" i="1"/>
  <c r="S62" i="1"/>
  <c r="R62" i="1"/>
  <c r="Q62" i="1"/>
  <c r="P62" i="1"/>
  <c r="O62" i="1"/>
  <c r="N62" i="1"/>
  <c r="M62" i="1"/>
  <c r="I62" i="1"/>
  <c r="G62" i="1"/>
  <c r="E62" i="1"/>
  <c r="D62" i="1"/>
  <c r="V61" i="1"/>
  <c r="U61" i="1"/>
  <c r="T61" i="1"/>
  <c r="S61" i="1"/>
  <c r="R61" i="1"/>
  <c r="Q61" i="1"/>
  <c r="P61" i="1"/>
  <c r="O61" i="1"/>
  <c r="N61" i="1"/>
  <c r="M61" i="1"/>
  <c r="K61" i="1"/>
  <c r="E61" i="1"/>
  <c r="D61" i="1"/>
  <c r="V60" i="1"/>
  <c r="U60" i="1"/>
  <c r="T60" i="1"/>
  <c r="S60" i="1"/>
  <c r="R60" i="1"/>
  <c r="Q60" i="1"/>
  <c r="P60" i="1"/>
  <c r="O60" i="1"/>
  <c r="N60" i="1"/>
  <c r="M60" i="1"/>
  <c r="K60" i="1"/>
  <c r="J60" i="1"/>
  <c r="G60" i="1"/>
  <c r="F60" i="1"/>
  <c r="V59" i="1"/>
  <c r="U59" i="1"/>
  <c r="T59" i="1"/>
  <c r="S59" i="1"/>
  <c r="R59" i="1"/>
  <c r="Q59" i="1"/>
  <c r="P59" i="1"/>
  <c r="O59" i="1"/>
  <c r="N59" i="1"/>
  <c r="M59" i="1"/>
  <c r="K59" i="1"/>
  <c r="G59" i="1"/>
  <c r="E59" i="1"/>
  <c r="D59" i="1"/>
  <c r="V58" i="1"/>
  <c r="U58" i="1"/>
  <c r="T58" i="1"/>
  <c r="S58" i="1"/>
  <c r="R58" i="1"/>
  <c r="Q58" i="1"/>
  <c r="P58" i="1"/>
  <c r="O58" i="1"/>
  <c r="N58" i="1"/>
  <c r="M58" i="1"/>
  <c r="K58" i="1"/>
  <c r="E58" i="1"/>
  <c r="D58" i="1"/>
  <c r="C58" i="1"/>
  <c r="V57" i="1"/>
  <c r="U57" i="1"/>
  <c r="T57" i="1"/>
  <c r="S57" i="1"/>
  <c r="R57" i="1"/>
  <c r="Q57" i="1"/>
  <c r="P57" i="1"/>
  <c r="O57" i="1"/>
  <c r="N57" i="1"/>
  <c r="M57" i="1"/>
  <c r="E57" i="1"/>
  <c r="V56" i="1"/>
  <c r="U56" i="1"/>
  <c r="T56" i="1"/>
  <c r="S56" i="1"/>
  <c r="R56" i="1"/>
  <c r="Q56" i="1"/>
  <c r="P56" i="1"/>
  <c r="O56" i="1"/>
  <c r="N56" i="1"/>
  <c r="M56" i="1"/>
  <c r="K56" i="1"/>
  <c r="G56" i="1"/>
  <c r="E56" i="1"/>
  <c r="D56" i="1"/>
  <c r="V55" i="1"/>
  <c r="U55" i="1"/>
  <c r="T55" i="1"/>
  <c r="S55" i="1"/>
  <c r="R55" i="1"/>
  <c r="Q55" i="1"/>
  <c r="P55" i="1"/>
  <c r="O55" i="1"/>
  <c r="N55" i="1"/>
  <c r="M55" i="1"/>
  <c r="K55" i="1"/>
  <c r="J55" i="1"/>
  <c r="I55" i="1"/>
  <c r="D55" i="1"/>
  <c r="V54" i="1"/>
  <c r="U54" i="1"/>
  <c r="T54" i="1"/>
  <c r="S54" i="1"/>
  <c r="R54" i="1"/>
  <c r="Q54" i="1"/>
  <c r="P54" i="1"/>
  <c r="O54" i="1"/>
  <c r="N54" i="1"/>
  <c r="M54" i="1"/>
  <c r="G54" i="1"/>
  <c r="E54" i="1"/>
  <c r="D54" i="1"/>
  <c r="V53" i="1"/>
  <c r="V64" i="1" s="1"/>
  <c r="V92" i="1" s="1"/>
  <c r="V94" i="1" s="1"/>
  <c r="U53" i="1"/>
  <c r="T53" i="1"/>
  <c r="S53" i="1"/>
  <c r="R53" i="1"/>
  <c r="Q53" i="1"/>
  <c r="P53" i="1"/>
  <c r="O53" i="1"/>
  <c r="N53" i="1"/>
  <c r="N64" i="1" s="1"/>
  <c r="N92" i="1" s="1"/>
  <c r="N94" i="1" s="1"/>
  <c r="M53" i="1"/>
  <c r="K53" i="1"/>
  <c r="J53" i="1"/>
  <c r="E53" i="1"/>
  <c r="D53" i="1"/>
  <c r="V52" i="1"/>
  <c r="U52" i="1"/>
  <c r="T52" i="1"/>
  <c r="S52" i="1"/>
  <c r="R52" i="1"/>
  <c r="R64" i="1" s="1"/>
  <c r="Q52" i="1"/>
  <c r="Q64" i="1" s="1"/>
  <c r="P52" i="1"/>
  <c r="O52" i="1"/>
  <c r="N52" i="1"/>
  <c r="M52" i="1"/>
  <c r="K52" i="1"/>
  <c r="J52" i="1"/>
  <c r="I52" i="1"/>
  <c r="H52" i="1"/>
  <c r="G52" i="1"/>
  <c r="V51" i="1"/>
  <c r="U51" i="1"/>
  <c r="U64" i="1" s="1"/>
  <c r="T51" i="1"/>
  <c r="T64" i="1" s="1"/>
  <c r="S51" i="1"/>
  <c r="S64" i="1" s="1"/>
  <c r="S92" i="1" s="1"/>
  <c r="S94" i="1" s="1"/>
  <c r="R51" i="1"/>
  <c r="Q51" i="1"/>
  <c r="P51" i="1"/>
  <c r="O51" i="1"/>
  <c r="N51" i="1"/>
  <c r="M51" i="1"/>
  <c r="M64" i="1" s="1"/>
  <c r="K51" i="1"/>
  <c r="G51" i="1"/>
  <c r="E51" i="1"/>
  <c r="D51" i="1"/>
  <c r="C51" i="1"/>
  <c r="AC47" i="1"/>
  <c r="AB47" i="1"/>
  <c r="Y47" i="1"/>
  <c r="U47" i="1"/>
  <c r="T47" i="1"/>
  <c r="S47" i="1"/>
  <c r="M47" i="1"/>
  <c r="K47" i="1"/>
  <c r="I47" i="1"/>
  <c r="C47" i="1"/>
  <c r="B47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R47" i="1" s="1"/>
  <c r="Q45" i="1"/>
  <c r="P45" i="1"/>
  <c r="O45" i="1"/>
  <c r="N45" i="1"/>
  <c r="M45" i="1"/>
  <c r="L45" i="1"/>
  <c r="L47" i="1" s="1"/>
  <c r="K45" i="1"/>
  <c r="J45" i="1"/>
  <c r="J89" i="1" s="1"/>
  <c r="I45" i="1"/>
  <c r="H45" i="1"/>
  <c r="H73" i="1" s="1"/>
  <c r="G45" i="1"/>
  <c r="G89" i="1" s="1"/>
  <c r="F45" i="1"/>
  <c r="F86" i="1" s="1"/>
  <c r="E45" i="1"/>
  <c r="E85" i="1" s="1"/>
  <c r="D45" i="1"/>
  <c r="D74" i="1" s="1"/>
  <c r="C45" i="1"/>
  <c r="C83" i="1" s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E19" i="1"/>
  <c r="AE47" i="1" s="1"/>
  <c r="AD19" i="1"/>
  <c r="AD47" i="1" s="1"/>
  <c r="AC19" i="1"/>
  <c r="AB19" i="1"/>
  <c r="AA19" i="1"/>
  <c r="AA47" i="1" s="1"/>
  <c r="Z19" i="1"/>
  <c r="Z47" i="1" s="1"/>
  <c r="Y19" i="1"/>
  <c r="X19" i="1"/>
  <c r="W19" i="1"/>
  <c r="W47" i="1" s="1"/>
  <c r="V19" i="1"/>
  <c r="V47" i="1" s="1"/>
  <c r="U19" i="1"/>
  <c r="T19" i="1"/>
  <c r="S19" i="1"/>
  <c r="R19" i="1"/>
  <c r="Q19" i="1"/>
  <c r="Q47" i="1" s="1"/>
  <c r="P19" i="1"/>
  <c r="O19" i="1"/>
  <c r="O47" i="1" s="1"/>
  <c r="N19" i="1"/>
  <c r="N47" i="1" s="1"/>
  <c r="M19" i="1"/>
  <c r="L19" i="1"/>
  <c r="K19" i="1"/>
  <c r="J19" i="1"/>
  <c r="J56" i="1" s="1"/>
  <c r="I19" i="1"/>
  <c r="I60" i="1" s="1"/>
  <c r="H19" i="1"/>
  <c r="H55" i="1" s="1"/>
  <c r="G19" i="1"/>
  <c r="F19" i="1"/>
  <c r="AF19" i="1" s="1"/>
  <c r="E19" i="1"/>
  <c r="E60" i="1" s="1"/>
  <c r="D19" i="1"/>
  <c r="D57" i="1" s="1"/>
  <c r="C19" i="1"/>
  <c r="C56" i="1" s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U92" i="1" l="1"/>
  <c r="U94" i="1" s="1"/>
  <c r="M92" i="1"/>
  <c r="M94" i="1" s="1"/>
  <c r="AF47" i="1"/>
  <c r="J47" i="1"/>
  <c r="F56" i="1"/>
  <c r="H59" i="1"/>
  <c r="C61" i="1"/>
  <c r="T90" i="1"/>
  <c r="T92" i="1" s="1"/>
  <c r="T94" i="1" s="1"/>
  <c r="E68" i="1"/>
  <c r="E72" i="1"/>
  <c r="H74" i="1"/>
  <c r="E79" i="1"/>
  <c r="J84" i="1"/>
  <c r="H85" i="1"/>
  <c r="H86" i="1"/>
  <c r="D87" i="1"/>
  <c r="B92" i="1"/>
  <c r="B94" i="1" s="1"/>
  <c r="AF45" i="1"/>
  <c r="F53" i="1"/>
  <c r="F57" i="1"/>
  <c r="H60" i="1"/>
  <c r="J67" i="1"/>
  <c r="E69" i="1"/>
  <c r="H75" i="1"/>
  <c r="J78" i="1"/>
  <c r="E87" i="1"/>
  <c r="B28" i="4"/>
  <c r="D28" i="4" s="1"/>
  <c r="G58" i="1"/>
  <c r="G64" i="1" s="1"/>
  <c r="G61" i="1"/>
  <c r="G53" i="1"/>
  <c r="G47" i="1"/>
  <c r="I84" i="1"/>
  <c r="I87" i="1"/>
  <c r="I79" i="1"/>
  <c r="I71" i="1"/>
  <c r="I82" i="1"/>
  <c r="I74" i="1"/>
  <c r="I66" i="1"/>
  <c r="I53" i="1"/>
  <c r="F54" i="1"/>
  <c r="C55" i="1"/>
  <c r="G57" i="1"/>
  <c r="D66" i="1"/>
  <c r="I68" i="1"/>
  <c r="C70" i="1"/>
  <c r="J71" i="1"/>
  <c r="D73" i="1"/>
  <c r="I75" i="1"/>
  <c r="E76" i="1"/>
  <c r="D77" i="1"/>
  <c r="H80" i="1"/>
  <c r="E81" i="1"/>
  <c r="E82" i="1"/>
  <c r="J86" i="1"/>
  <c r="D89" i="1"/>
  <c r="H19" i="5"/>
  <c r="C59" i="1"/>
  <c r="E66" i="1"/>
  <c r="H88" i="1"/>
  <c r="E89" i="1"/>
  <c r="B53" i="4"/>
  <c r="C41" i="4"/>
  <c r="C40" i="4"/>
  <c r="F63" i="1"/>
  <c r="F55" i="1"/>
  <c r="F58" i="1"/>
  <c r="P47" i="1"/>
  <c r="O64" i="1"/>
  <c r="O92" i="1" s="1"/>
  <c r="O94" i="1" s="1"/>
  <c r="H57" i="1"/>
  <c r="F61" i="1"/>
  <c r="J68" i="1"/>
  <c r="H72" i="1"/>
  <c r="J75" i="1"/>
  <c r="E77" i="1"/>
  <c r="I56" i="1"/>
  <c r="I59" i="1"/>
  <c r="I51" i="1"/>
  <c r="C82" i="1"/>
  <c r="C85" i="1"/>
  <c r="C77" i="1"/>
  <c r="C69" i="1"/>
  <c r="C88" i="1"/>
  <c r="C80" i="1"/>
  <c r="C72" i="1"/>
  <c r="D47" i="1"/>
  <c r="F51" i="1"/>
  <c r="P64" i="1"/>
  <c r="P92" i="1" s="1"/>
  <c r="P94" i="1" s="1"/>
  <c r="C52" i="1"/>
  <c r="C64" i="1" s="1"/>
  <c r="H54" i="1"/>
  <c r="G55" i="1"/>
  <c r="I57" i="1"/>
  <c r="H58" i="1"/>
  <c r="I61" i="1"/>
  <c r="F62" i="1"/>
  <c r="C63" i="1"/>
  <c r="C67" i="1"/>
  <c r="C90" i="1" s="1"/>
  <c r="H69" i="1"/>
  <c r="I72" i="1"/>
  <c r="I76" i="1"/>
  <c r="C78" i="1"/>
  <c r="J80" i="1"/>
  <c r="J81" i="1"/>
  <c r="C84" i="1"/>
  <c r="I88" i="1"/>
  <c r="I89" i="1"/>
  <c r="K13" i="3"/>
  <c r="H89" i="1"/>
  <c r="H81" i="1"/>
  <c r="H84" i="1"/>
  <c r="H76" i="1"/>
  <c r="H68" i="1"/>
  <c r="H87" i="1"/>
  <c r="H79" i="1"/>
  <c r="H71" i="1"/>
  <c r="X47" i="1"/>
  <c r="E73" i="1"/>
  <c r="J59" i="1"/>
  <c r="J51" i="1"/>
  <c r="J62" i="1"/>
  <c r="J54" i="1"/>
  <c r="D85" i="1"/>
  <c r="D88" i="1"/>
  <c r="D80" i="1"/>
  <c r="D72" i="1"/>
  <c r="D83" i="1"/>
  <c r="D75" i="1"/>
  <c r="D67" i="1"/>
  <c r="E47" i="1"/>
  <c r="F52" i="1"/>
  <c r="I54" i="1"/>
  <c r="J57" i="1"/>
  <c r="I58" i="1"/>
  <c r="J61" i="1"/>
  <c r="Q90" i="1"/>
  <c r="Q92" i="1" s="1"/>
  <c r="Q94" i="1" s="1"/>
  <c r="H70" i="1"/>
  <c r="C71" i="1"/>
  <c r="J72" i="1"/>
  <c r="E74" i="1"/>
  <c r="J76" i="1"/>
  <c r="D78" i="1"/>
  <c r="H82" i="1"/>
  <c r="H83" i="1"/>
  <c r="D84" i="1"/>
  <c r="C86" i="1"/>
  <c r="J88" i="1"/>
  <c r="K62" i="1"/>
  <c r="K54" i="1"/>
  <c r="K64" i="1" s="1"/>
  <c r="D14" i="4"/>
  <c r="K57" i="1"/>
  <c r="H46" i="5"/>
  <c r="H61" i="1"/>
  <c r="H53" i="1"/>
  <c r="H47" i="1"/>
  <c r="H56" i="1"/>
  <c r="J87" i="1"/>
  <c r="J79" i="1"/>
  <c r="J82" i="1"/>
  <c r="J74" i="1"/>
  <c r="J66" i="1"/>
  <c r="J85" i="1"/>
  <c r="J77" i="1"/>
  <c r="J69" i="1"/>
  <c r="C62" i="1"/>
  <c r="C54" i="1"/>
  <c r="C57" i="1"/>
  <c r="E88" i="1"/>
  <c r="E80" i="1"/>
  <c r="E83" i="1"/>
  <c r="E75" i="1"/>
  <c r="E67" i="1"/>
  <c r="E86" i="1"/>
  <c r="E78" i="1"/>
  <c r="E70" i="1"/>
  <c r="F47" i="1"/>
  <c r="H51" i="1"/>
  <c r="C53" i="1"/>
  <c r="J58" i="1"/>
  <c r="F59" i="1"/>
  <c r="C60" i="1"/>
  <c r="H62" i="1"/>
  <c r="AC92" i="1"/>
  <c r="AC94" i="1" s="1"/>
  <c r="H66" i="1"/>
  <c r="R90" i="1"/>
  <c r="R92" i="1" s="1"/>
  <c r="R94" i="1" s="1"/>
  <c r="D71" i="1"/>
  <c r="J73" i="1"/>
  <c r="C75" i="1"/>
  <c r="H77" i="1"/>
  <c r="C79" i="1"/>
  <c r="E84" i="1"/>
  <c r="D86" i="1"/>
  <c r="H78" i="1"/>
  <c r="J83" i="1"/>
  <c r="D52" i="1"/>
  <c r="E55" i="1"/>
  <c r="D60" i="1"/>
  <c r="E63" i="1"/>
  <c r="G68" i="1"/>
  <c r="F73" i="1"/>
  <c r="G76" i="1"/>
  <c r="F81" i="1"/>
  <c r="G84" i="1"/>
  <c r="F89" i="1"/>
  <c r="C15" i="4"/>
  <c r="C26" i="4" s="1"/>
  <c r="J13" i="3"/>
  <c r="E52" i="1"/>
  <c r="E64" i="1" s="1"/>
  <c r="F70" i="1"/>
  <c r="F90" i="1" s="1"/>
  <c r="G73" i="1"/>
  <c r="G90" i="1" s="1"/>
  <c r="F78" i="1"/>
  <c r="G81" i="1"/>
  <c r="G92" i="1" l="1"/>
  <c r="G94" i="1" s="1"/>
  <c r="C92" i="1"/>
  <c r="C94" i="1" s="1"/>
  <c r="AF80" i="1"/>
  <c r="E90" i="1"/>
  <c r="E92" i="1" s="1"/>
  <c r="E94" i="1" s="1"/>
  <c r="D90" i="1"/>
  <c r="H90" i="1"/>
  <c r="J90" i="1"/>
  <c r="L13" i="3"/>
  <c r="J64" i="1"/>
  <c r="K82" i="1"/>
  <c r="AF82" i="1" s="1"/>
  <c r="C52" i="4"/>
  <c r="D40" i="4"/>
  <c r="K85" i="1"/>
  <c r="AF85" i="1" s="1"/>
  <c r="K77" i="1"/>
  <c r="K69" i="1"/>
  <c r="AF69" i="1" s="1"/>
  <c r="K88" i="1"/>
  <c r="AF88" i="1" s="1"/>
  <c r="K80" i="1"/>
  <c r="K72" i="1"/>
  <c r="AF72" i="1" s="1"/>
  <c r="K89" i="1"/>
  <c r="AF89" i="1" s="1"/>
  <c r="K76" i="1"/>
  <c r="AF76" i="1" s="1"/>
  <c r="K81" i="1"/>
  <c r="AF81" i="1" s="1"/>
  <c r="K87" i="1"/>
  <c r="K75" i="1"/>
  <c r="K68" i="1"/>
  <c r="K79" i="1"/>
  <c r="K66" i="1"/>
  <c r="K86" i="1"/>
  <c r="AF86" i="1" s="1"/>
  <c r="K71" i="1"/>
  <c r="AF71" i="1" s="1"/>
  <c r="K78" i="1"/>
  <c r="K67" i="1"/>
  <c r="K84" i="1"/>
  <c r="AF84" i="1" s="1"/>
  <c r="K74" i="1"/>
  <c r="AF74" i="1" s="1"/>
  <c r="K73" i="1"/>
  <c r="K83" i="1"/>
  <c r="AF83" i="1" s="1"/>
  <c r="K70" i="1"/>
  <c r="AF70" i="1" s="1"/>
  <c r="B54" i="4"/>
  <c r="D54" i="4" s="1"/>
  <c r="AF62" i="1"/>
  <c r="F64" i="1"/>
  <c r="F92" i="1" s="1"/>
  <c r="F94" i="1" s="1"/>
  <c r="D41" i="4"/>
  <c r="L85" i="1"/>
  <c r="L88" i="1"/>
  <c r="L80" i="1"/>
  <c r="L72" i="1"/>
  <c r="L83" i="1"/>
  <c r="L75" i="1"/>
  <c r="AF75" i="1" s="1"/>
  <c r="L67" i="1"/>
  <c r="L89" i="1"/>
  <c r="L82" i="1"/>
  <c r="L81" i="1"/>
  <c r="L69" i="1"/>
  <c r="L87" i="1"/>
  <c r="L68" i="1"/>
  <c r="L86" i="1"/>
  <c r="L79" i="1"/>
  <c r="AF79" i="1" s="1"/>
  <c r="L71" i="1"/>
  <c r="L78" i="1"/>
  <c r="L84" i="1"/>
  <c r="L74" i="1"/>
  <c r="L70" i="1"/>
  <c r="L77" i="1"/>
  <c r="AF77" i="1" s="1"/>
  <c r="L73" i="1"/>
  <c r="AF73" i="1" s="1"/>
  <c r="L66" i="1"/>
  <c r="L76" i="1"/>
  <c r="H64" i="1"/>
  <c r="H92" i="1" s="1"/>
  <c r="H94" i="1" s="1"/>
  <c r="D15" i="4"/>
  <c r="L57" i="1"/>
  <c r="AF57" i="1" s="1"/>
  <c r="L60" i="1"/>
  <c r="AF60" i="1" s="1"/>
  <c r="L52" i="1"/>
  <c r="AF52" i="1" s="1"/>
  <c r="L54" i="1"/>
  <c r="AF54" i="1" s="1"/>
  <c r="L53" i="1"/>
  <c r="AF53" i="1" s="1"/>
  <c r="L56" i="1"/>
  <c r="AF56" i="1" s="1"/>
  <c r="L63" i="1"/>
  <c r="AF63" i="1" s="1"/>
  <c r="L61" i="1"/>
  <c r="AF61" i="1" s="1"/>
  <c r="L59" i="1"/>
  <c r="AF59" i="1" s="1"/>
  <c r="L55" i="1"/>
  <c r="AF55" i="1" s="1"/>
  <c r="L62" i="1"/>
  <c r="L58" i="1"/>
  <c r="AF58" i="1" s="1"/>
  <c r="L51" i="1"/>
  <c r="D64" i="1"/>
  <c r="D92" i="1" s="1"/>
  <c r="D94" i="1" s="1"/>
  <c r="I64" i="1"/>
  <c r="I90" i="1"/>
  <c r="AF51" i="1"/>
  <c r="AF67" i="1"/>
  <c r="AF78" i="1"/>
  <c r="AF68" i="1" l="1"/>
  <c r="K90" i="1"/>
  <c r="K92" i="1" s="1"/>
  <c r="K94" i="1" s="1"/>
  <c r="AF66" i="1"/>
  <c r="L64" i="1"/>
  <c r="L92" i="1" s="1"/>
  <c r="L94" i="1" s="1"/>
  <c r="AF87" i="1"/>
  <c r="J92" i="1"/>
  <c r="J94" i="1" s="1"/>
  <c r="I92" i="1"/>
  <c r="I94" i="1" s="1"/>
  <c r="L90" i="1"/>
  <c r="AF64" i="1" l="1"/>
  <c r="AF90" i="1"/>
  <c r="AF92" i="1" l="1"/>
  <c r="AF94" i="1" s="1"/>
</calcChain>
</file>

<file path=xl/sharedStrings.xml><?xml version="1.0" encoding="utf-8"?>
<sst xmlns="http://schemas.openxmlformats.org/spreadsheetml/2006/main" count="297" uniqueCount="127">
  <si>
    <t>Flujo Completo Mensual — Real + Reprogramado (Dic-2025 a Jul-2027)</t>
  </si>
  <si>
    <t>Bloque 1: presupuesto original (referencia, fuente Flujo_Araya_fase_I). Bloque 2: real ejecutado (Dic-25 a Jul-26) y proyección (Ago-26 a Jul-27, con la variación acumulada de Dic-25 a Jul-26 redistribuida solo en Ago-26 y Sep-26) — cierra en el total de RD$751,309,285.</t>
  </si>
  <si>
    <t>BLOQUE 1 — PRESUPUESTO ORIGINAL (referencia)</t>
  </si>
  <si>
    <t>Categoría</t>
  </si>
  <si>
    <t>Acum. Anterior</t>
  </si>
  <si>
    <t>Dic-25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</si>
  <si>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</si>
  <si>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</si>
  <si>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</si>
  <si>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</si>
  <si>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</si>
  <si>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</si>
  <si>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</si>
  <si>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</si>
  <si>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</si>
  <si>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</si>
  <si>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</si>
  <si>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</si>
  <si>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</si>
  <si>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</si>
  <si>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</si>
  <si>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Abr-27</t>
  </si>
  <si>
    <t>May-27</t>
  </si>
  <si>
    <t>Jun-27</t>
  </si>
  <si>
    <t>Jul-27</t>
  </si>
  <si>
    <t>Ago-27</t>
  </si>
  <si>
    <t>Sep-27</t>
  </si>
  <si>
    <t>Oct-27</t>
  </si>
  <si>
    <t>Nov-27</t>
  </si>
  <si>
    <t>Dic-27</t>
  </si>
  <si>
    <t>Ene-28</t>
  </si>
  <si>
    <t>Feb-28</t>
  </si>
  <si>
    <t>Mar-28</t>
  </si>
  <si>
    <t>Abr-28</t>
  </si>
  <si>
    <t>Total</t>
  </si>
  <si>
    <t>Instalaciones Preliminares</t>
  </si>
  <si>
    <t>Movimiento de Tierra</t>
  </si>
  <si>
    <t>Instalaciones Residual</t>
  </si>
  <si>
    <t>Instalaciones Pluvial</t>
  </si>
  <si>
    <t>Instalaciones Agua Potable</t>
  </si>
  <si>
    <t>Pozo y Tanques</t>
  </si>
  <si>
    <t>Escalera</t>
  </si>
  <si>
    <t>Planta de Tratamiento</t>
  </si>
  <si>
    <t>Electrificacion y Telecom</t>
  </si>
  <si>
    <t>Vialidad y Gas</t>
  </si>
  <si>
    <t>Cocina</t>
  </si>
  <si>
    <t>Paisajismo</t>
  </si>
  <si>
    <t>Elementos Urbanos y Obras Ext.</t>
  </si>
  <si>
    <t>TOTAL URBANISMO</t>
  </si>
  <si>
    <t>Excavaciones y Compactacion</t>
  </si>
  <si>
    <t>Acero en Platea</t>
  </si>
  <si>
    <t>Encofrado en Platea</t>
  </si>
  <si>
    <t>Concreto en Platea</t>
  </si>
  <si>
    <t>Concreto en Molde</t>
  </si>
  <si>
    <t>Encofrado en Molde</t>
  </si>
  <si>
    <t>Acero en Superestructura</t>
  </si>
  <si>
    <t>Instalaciones Electricas</t>
  </si>
  <si>
    <t>Aguas Blancas</t>
  </si>
  <si>
    <t>Aguas Residuales</t>
  </si>
  <si>
    <t>Gas</t>
  </si>
  <si>
    <t>Albañileria</t>
  </si>
  <si>
    <t>Antepecho</t>
  </si>
  <si>
    <t>Herreria</t>
  </si>
  <si>
    <t>Revestimiento</t>
  </si>
  <si>
    <t>Carpinteria</t>
  </si>
  <si>
    <t>Ventaneria</t>
  </si>
  <si>
    <t>Cableado y Piezas Electricas</t>
  </si>
  <si>
    <t>Piezas Sanitarias</t>
  </si>
  <si>
    <t>Pintura Interior</t>
  </si>
  <si>
    <t>Pintura Exterior</t>
  </si>
  <si>
    <t>Pendientes de Techo e Imperm.</t>
  </si>
  <si>
    <t>Miscelaneos</t>
  </si>
  <si>
    <t>Remates y Limpieza</t>
  </si>
  <si>
    <t>TOTAL EDIFICIOS</t>
  </si>
  <si>
    <t>TOTAL GENERAL</t>
  </si>
  <si>
    <t>BLOQUE 2 — REAL EJECUTADO (Dic-25 a Jul-26) + REPROGRAMADO (Ago-26 a Jul-27)</t>
  </si>
  <si>
    <t>Fase II</t>
  </si>
  <si>
    <t>Total Fase I y Fase II</t>
  </si>
  <si>
    <t>ARAYA Fase I — Comparación Flujo Presupuestado vs. Gasto Real</t>
  </si>
  <si>
    <t>Periodo analizado: Dic-2025 a Jul-2026 · Fuente: Flujo semanal (proyectado) y Mayor de Cuentas (real)</t>
  </si>
  <si>
    <t>Concepto</t>
  </si>
  <si>
    <t>Presupuestado</t>
  </si>
  <si>
    <t>Real</t>
  </si>
  <si>
    <t>Variación</t>
  </si>
  <si>
    <t>Variación %</t>
  </si>
  <si>
    <t>Urbanismo (Dic-25 a Jul-26)</t>
  </si>
  <si>
    <t>Edificios (Dic-25 a Jul-26)</t>
  </si>
  <si>
    <t>TOTAL</t>
  </si>
  <si>
    <t>Lectura del periodo</t>
  </si>
  <si>
    <t>•  Urbanismo gastó RD$40.3M reales contra RD$28.0M presupuestados (Dic-25 a Jul-26) — un sobregiro de ~RD$12.3M, explicado principalmente por el pago adelantado del contrato de Movimiento de Tierra en diciembre 2025. En julio, Urbanismo también se sobregiró (RD$8.1M reales vs RD$2.2M presupuestados), por el arranque de partidas de infraestructura pendientes.</t>
  </si>
  <si>
    <t>•  Edificios gastó RD$114.6M reales contra RD$197.6M presupuestados — un remanente de ~RD$83.0M no ejecutado, consistente con los atrasos de estructura y acabados. En julio el remanente individual fue de ~RD$18.5M.</t>
  </si>
  <si>
    <t>•  Reprogramación de julio: la variación acumulada real de Dic-25 a Jul-26 (Urbanismo y Edificios) se redistribuyó íntegramente entre agosto y septiembre 2026 (mitad y mitad por categoría), sin modificar el resto del flujo futuro. Ver hoja "Reprogramación".</t>
  </si>
  <si>
    <t>•  Los gastos de Terreno, Diseño, Gerencia de Construcción, Indirectos, Inspección Técnica, Permisos y Gastos Financieros no forman parte del flujo de obra analizado; se excluyen de esta comparación por estar fuera del alcance de Urbanismo/Edificios.</t>
  </si>
  <si>
    <t>Comparación Mensual — Presupuestado vs. Real</t>
  </si>
  <si>
    <t>Urbanismo y Edificios · Dic-2025 a Jul-2026</t>
  </si>
  <si>
    <t>Mes</t>
  </si>
  <si>
    <t>Urb. Presupuestado</t>
  </si>
  <si>
    <t>Urb. Real</t>
  </si>
  <si>
    <t>Urb. Variación</t>
  </si>
  <si>
    <t>Urb. Var. Acum.</t>
  </si>
  <si>
    <t>Edi. Presupuestado</t>
  </si>
  <si>
    <t>Edi. Real</t>
  </si>
  <si>
    <t>Edi. Variación</t>
  </si>
  <si>
    <t>Edi. Var. Acum.</t>
  </si>
  <si>
    <t>Total Presupuestado</t>
  </si>
  <si>
    <t>Total Real</t>
  </si>
  <si>
    <t>Total Variación</t>
  </si>
  <si>
    <t>Nota: "Var. Acum." es la variación (Presupuestado − Real) acumulada mes a mes; positivo = remanente sin ejecutar, negativo = sobregiro frente al plan.</t>
  </si>
  <si>
    <t>Reprogramación de Julio (Ago-2026 a Jul-2027)</t>
  </si>
  <si>
    <t>Metodología: junio y julio ya son reales (fuente: Costos_Araya_Dic-25_a_Jun-26.xlsx y Datos_para_informe_Julio_2026.xlsx). La variación acumulada de todo el periodo real (Dic-25 a Jul-26 vs. presupuesto original de esos mismos meses) se redistribuye únicamente entre Ago-26 y Sep-26 (mitad y mitad), de forma que el total reprogramado cierre exacto en el presupuesto total del proyecto. El resto de los meses futuros conserva su presupuesto original sin reescalar.</t>
  </si>
  <si>
    <t>URBANISMO</t>
  </si>
  <si>
    <t>Total Proyección (presupuesto total del proyecto)</t>
  </si>
  <si>
    <t>Acumulado real anterior a Dic-2025 (según flujo)</t>
  </si>
  <si>
    <t>Real ejecutado Dic-25 a Jul-26</t>
  </si>
  <si>
    <t>Real total acumulado a la fecha</t>
  </si>
  <si>
    <t>Restante a distribuir (Ago-26 a Jul-27, informativo)</t>
  </si>
  <si>
    <t>Presupuesto Original</t>
  </si>
  <si>
    <t>Presupuesto Reprogramado</t>
  </si>
  <si>
    <t>Diferencia</t>
  </si>
  <si>
    <t>SUMA (Jun-26 y Jul-26 real + Ago-26 a Jul-27 reprogramado)</t>
  </si>
  <si>
    <t>Variación acumulada Dic-25 a Jul-26 redistribuida (Ago-26 + Sep-26)</t>
  </si>
  <si>
    <t>Verificación: Real acum. a la fecha + Reprogramado (Ago-26 a Jul-27) = Total Proyección</t>
  </si>
  <si>
    <t>EDIFICIOS</t>
  </si>
  <si>
    <t>Nota: esta versión concentra TODA la variación real acumulada (Dic-25 a Jul-26) en Ago-26 y Sep-26, para que el total reprogramado cierre exactamente en el presupuesto original del proyecto (SUMA Reprogramado = SUMA Original en cada categoría, y el gran total = RD$751,309,285). El resto de los meses futuros no se toca.</t>
  </si>
  <si>
    <t>Detalle del Flujo Presupuestado por Categoría (Dic-25 a May-26)</t>
  </si>
  <si>
    <t>Fuente: Flujo_Araya_fase_I. Solo disponible a nivel de categoría en el presupuesto — el gasto real del mayor contable solo distingue Urbanismo vs. Edificios en conjunto.</t>
  </si>
  <si>
    <t>Total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</si>
</sst>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;\(0.0%\);\-"/>
    <numFmt numFmtId="166" formatCode="0.0%"/>
    <numFmt numFmtId="167" formatCode="_(* #,##0.00_);_(* \(#,##0.00\);_(* \-??_);_(@_)"/>
  </numFmts>
  <fonts count="18" x14ac:knownFonts="1">
    <font>
      <sz val="11"/>
      <color theme="1"/>
      <name val="Calibri"/>
      <family val="2"/>
      <charset val="1"/>
    </font>
    <font>
      <b/>
      <sz val="16"/>
      <color rgb="FF0B1F3A"/>
      <name val="Arial"/>
      <charset val="1"/>
    </font>
    <font>
      <i/>
      <sz val="10"/>
      <color rgb="FF595959"/>
      <name val="Arial"/>
      <charset val="1"/>
    </font>
    <font>
      <b/>
      <sz val="12"/>
      <color rgb="FF0B1F3A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9"/>
      <name val="Arial"/>
      <charset val="1"/>
    </font>
    <font>
      <b/>
      <sz val="9"/>
      <color rgb="FF0000FF"/>
      <name val="Arial"/>
      <charset val="1"/>
    </font>
    <font>
      <b/>
      <sz val="10"/>
      <color rgb="FF0B1F3A"/>
      <name val="Arial"/>
      <charset val="1"/>
    </font>
    <font>
      <b/>
      <sz val="10"/>
      <name val="Arial"/>
      <charset val="1"/>
    </font>
    <font>
      <sz val="9"/>
      <color rgb="FF008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3"/>
      <color rgb="FF0B1F3A"/>
      <name val="Arial"/>
      <charset val="1"/>
    </font>
    <font>
      <b/>
      <sz val="11"/>
      <color rgb="FF0B1F3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C9A961"/>
        <bgColor rgb="FFBFBFBF"/>
      </patternFill>
    </fill>
    <fill>
      <patternFill patternType="solid">
        <fgColor rgb="FF0B1F3A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2" fillId="0" borderId="0" xfId="0" applyFont="1" applyAlignment="1">
      <alignment vertical="top" wrapText="1"/>
    </xf>
    <xf numFmtId="0" fontId="0" fillId="0" borderId="0" xfId="0"/>
    <xf numFmtId="0" fontId="14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0" fontId="7" fillId="4" borderId="1" xfId="0" applyFont="1" applyFill="1" applyBorder="1"/>
    <xf numFmtId="164" fontId="8" fillId="4" borderId="1" xfId="0" applyNumberFormat="1" applyFont="1" applyFill="1" applyBorder="1"/>
    <xf numFmtId="164" fontId="7" fillId="4" borderId="1" xfId="0" applyNumberFormat="1" applyFont="1" applyFill="1" applyBorder="1"/>
    <xf numFmtId="0" fontId="9" fillId="0" borderId="0" xfId="0" applyFont="1"/>
    <xf numFmtId="164" fontId="10" fillId="2" borderId="1" xfId="0" applyNumberFormat="1" applyFont="1" applyFill="1" applyBorder="1"/>
    <xf numFmtId="164" fontId="11" fillId="0" borderId="1" xfId="0" applyNumberFormat="1" applyFont="1" applyBorder="1"/>
    <xf numFmtId="164" fontId="10" fillId="2" borderId="2" xfId="0" applyNumberFormat="1" applyFont="1" applyFill="1" applyBorder="1"/>
    <xf numFmtId="0" fontId="12" fillId="0" borderId="0" xfId="0" applyFont="1" applyAlignment="1">
      <alignment vertical="top" wrapText="1"/>
    </xf>
    <xf numFmtId="0" fontId="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164" fontId="15" fillId="0" borderId="1" xfId="0" applyNumberFormat="1" applyFont="1" applyBorder="1"/>
    <xf numFmtId="164" fontId="14" fillId="0" borderId="1" xfId="0" applyNumberFormat="1" applyFont="1" applyBorder="1"/>
    <xf numFmtId="165" fontId="14" fillId="0" borderId="1" xfId="0" applyNumberFormat="1" applyFont="1" applyBorder="1"/>
    <xf numFmtId="0" fontId="10" fillId="4" borderId="1" xfId="0" applyFont="1" applyFill="1" applyBorder="1"/>
    <xf numFmtId="164" fontId="10" fillId="4" borderId="1" xfId="0" applyNumberFormat="1" applyFont="1" applyFill="1" applyBorder="1"/>
    <xf numFmtId="165" fontId="10" fillId="4" borderId="1" xfId="0" applyNumberFormat="1" applyFont="1" applyFill="1" applyBorder="1"/>
    <xf numFmtId="0" fontId="3" fillId="0" borderId="0" xfId="0" applyFont="1"/>
    <xf numFmtId="0" fontId="16" fillId="0" borderId="0" xfId="0" applyFont="1"/>
    <xf numFmtId="0" fontId="14" fillId="0" borderId="0" xfId="0" applyFont="1"/>
    <xf numFmtId="164" fontId="15" fillId="0" borderId="0" xfId="0" applyNumberFormat="1" applyFont="1"/>
    <xf numFmtId="164" fontId="14" fillId="0" borderId="0" xfId="0" applyNumberFormat="1" applyFont="1"/>
    <xf numFmtId="0" fontId="10" fillId="0" borderId="0" xfId="0" applyFont="1"/>
    <xf numFmtId="164" fontId="10" fillId="0" borderId="0" xfId="0" applyNumberFormat="1" applyFont="1"/>
    <xf numFmtId="0" fontId="0" fillId="4" borderId="1" xfId="0" applyFill="1" applyBorder="1"/>
    <xf numFmtId="166" fontId="10" fillId="5" borderId="0" xfId="0" applyNumberFormat="1" applyFont="1" applyFill="1"/>
    <xf numFmtId="164" fontId="0" fillId="0" borderId="0" xfId="0" applyNumberFormat="1"/>
    <xf numFmtId="0" fontId="17" fillId="2" borderId="0" xfId="0" applyFont="1" applyFill="1"/>
    <xf numFmtId="167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961"/>
      <rgbColor rgb="FF0B1F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5"/>
  <sheetViews>
    <sheetView showGridLines="0" tabSelected="1" zoomScaleNormal="100" workbookViewId="0">
      <pane xSplit="2" ySplit="5" topLeftCell="D74" activePane="bottomRight" state="frozen"/>
      <selection pane="topRight" activeCell="F1" sqref="F1"/>
      <selection pane="bottomLeft" activeCell="A68" sqref="A68"/>
      <selection pane="bottomRight" activeCell="A5" sqref="A5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22" width="12" customWidth="1"/>
    <col min="23" max="23" width="15" customWidth="1"/>
    <col min="24" max="29" width="11.140625" bestFit="1" customWidth="1"/>
    <col min="30" max="30" width="10.140625" bestFit="1" customWidth="1"/>
    <col min="32" max="32" width="13.7109375" bestFit="1" customWidth="1"/>
  </cols>
  <sheetData>
    <row r="1" spans="1:32" ht="20.25" customHeight="1" x14ac:dyDescent="0.3">
      <c r="A1" s="5" t="s">
        <v>0</v>
      </c>
    </row>
    <row r="2" spans="1:32" ht="27.75" customHeight="1" x14ac:dyDescent="0.25">
      <c r="A2" s="4" t="s">
        <v>1</v>
      </c>
      <c r="B2" s="4"/>
      <c r="C2" s="4"/>
      <c r="D2" s="4"/>
      <c r="E2" s="4"/>
      <c r="F2" s="4"/>
      <c r="G2" s="4"/>
      <c r="H2" s="4"/>
    </row>
    <row r="4" spans="1:32" ht="15.7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23</v>
      </c>
      <c r="V5" s="8" t="s">
        <v>24</v>
      </c>
      <c r="W5" s="8" t="s">
        <v>25</v>
      </c>
      <c r="X5" s="8" t="s">
        <v>26</v>
      </c>
      <c r="Y5" s="8" t="s">
        <v>27</v>
      </c>
      <c r="Z5" s="8" t="s">
        <v>28</v>
      </c>
      <c r="AA5" s="8" t="s">
        <v>29</v>
      </c>
      <c r="AB5" s="8" t="s">
        <v>30</v>
      </c>
      <c r="AC5" s="8" t="s">
        <v>31</v>
      </c>
      <c r="AD5" s="8" t="s">
        <v>32</v>
      </c>
      <c r="AE5" s="8" t="s">
        <v>33</v>
      </c>
      <c r="AF5" s="8" t="s">
        <v>34</v>
      </c>
    </row>
    <row r="6" spans="1:32" ht="15" customHeight="1" x14ac:dyDescent="0.25">
      <c r="A6" s="9" t="s">
        <v>35</v>
      </c>
      <c r="B6" s="10">
        <v>0</v>
      </c>
      <c r="C6" s="10">
        <v>330400</v>
      </c>
      <c r="D6" s="10">
        <v>128384</v>
      </c>
      <c r="E6" s="10">
        <v>1533833.6274030199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1">
        <f t="shared" ref="AF6:AF18" si="0">SUM(B6,C6:AE6)</f>
        <v>1992617.6274030199</v>
      </c>
    </row>
    <row r="7" spans="1:32" ht="15" customHeight="1" x14ac:dyDescent="0.25">
      <c r="A7" s="9" t="s">
        <v>36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1895547.5716840001</v>
      </c>
      <c r="H7" s="10">
        <v>4597021.0204079999</v>
      </c>
      <c r="I7" s="10">
        <v>4597021.0204079999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1">
        <f t="shared" si="0"/>
        <v>11089589.612500001</v>
      </c>
    </row>
    <row r="8" spans="1:32" ht="15" customHeight="1" x14ac:dyDescent="0.25">
      <c r="A8" s="9" t="s">
        <v>37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2456464.8243754599</v>
      </c>
      <c r="J8" s="10">
        <v>1228232.41218773</v>
      </c>
      <c r="K8" s="10">
        <v>2456464.8243754599</v>
      </c>
      <c r="L8" s="10">
        <v>3684697.2365631801</v>
      </c>
      <c r="M8" s="10">
        <v>2456464.8243754599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1">
        <f t="shared" si="0"/>
        <v>12282324.12187729</v>
      </c>
    </row>
    <row r="9" spans="1:32" ht="15" customHeight="1" x14ac:dyDescent="0.25">
      <c r="A9" s="9" t="s">
        <v>38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1298558.3958861099</v>
      </c>
      <c r="L9" s="10">
        <v>1298558.3958861099</v>
      </c>
      <c r="M9" s="10">
        <v>2597116.79177221</v>
      </c>
      <c r="N9" s="10">
        <v>1298558.3958861099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1">
        <f t="shared" si="0"/>
        <v>6492791.9794305395</v>
      </c>
    </row>
    <row r="10" spans="1:32" ht="15" customHeight="1" x14ac:dyDescent="0.25">
      <c r="A10" s="9" t="s">
        <v>39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1005131.37899354</v>
      </c>
      <c r="K10" s="10">
        <v>1005131.37899354</v>
      </c>
      <c r="L10" s="10">
        <v>1507697.0684903199</v>
      </c>
      <c r="M10" s="10">
        <v>1005131.37899354</v>
      </c>
      <c r="N10" s="10">
        <v>502565.68949677201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1">
        <f t="shared" si="0"/>
        <v>5025656.8949677125</v>
      </c>
    </row>
    <row r="11" spans="1:32" ht="15" customHeight="1" x14ac:dyDescent="0.25">
      <c r="A11" s="9" t="s">
        <v>40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3108517.6860000002</v>
      </c>
      <c r="L11" s="10">
        <v>3108517.6860000002</v>
      </c>
      <c r="M11" s="10">
        <v>6217035.3720000004</v>
      </c>
      <c r="N11" s="10">
        <v>6217035.3720000004</v>
      </c>
      <c r="O11" s="10">
        <v>6217035.3720000004</v>
      </c>
      <c r="P11" s="10">
        <v>6183196.602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1">
        <f t="shared" si="0"/>
        <v>31051338.090000004</v>
      </c>
    </row>
    <row r="12" spans="1:32" ht="15" customHeight="1" x14ac:dyDescent="0.25">
      <c r="A12" s="9" t="s">
        <v>41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1">
        <f t="shared" si="0"/>
        <v>0</v>
      </c>
    </row>
    <row r="13" spans="1:32" ht="15" customHeight="1" x14ac:dyDescent="0.25">
      <c r="A13" s="9" t="s">
        <v>42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4159815.06</v>
      </c>
      <c r="J13" s="10">
        <v>0</v>
      </c>
      <c r="K13" s="10">
        <v>1386605.02</v>
      </c>
      <c r="L13" s="10">
        <v>2773210.04</v>
      </c>
      <c r="M13" s="10">
        <v>2773210.04</v>
      </c>
      <c r="N13" s="10">
        <v>1386605.02</v>
      </c>
      <c r="O13" s="10">
        <v>1386605.02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1">
        <f t="shared" si="0"/>
        <v>13866050.199999999</v>
      </c>
    </row>
    <row r="14" spans="1:32" ht="15" customHeight="1" x14ac:dyDescent="0.25">
      <c r="A14" s="9" t="s">
        <v>43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16627955.7628897</v>
      </c>
      <c r="L14" s="10">
        <v>6651182.3051559003</v>
      </c>
      <c r="M14" s="10">
        <v>6651182.3051559003</v>
      </c>
      <c r="N14" s="10">
        <v>6651182.3051559003</v>
      </c>
      <c r="O14" s="10">
        <v>6651182.3051559003</v>
      </c>
      <c r="P14" s="10">
        <v>6651182.3051559003</v>
      </c>
      <c r="Q14" s="10">
        <v>6651182.3051559003</v>
      </c>
      <c r="R14" s="10">
        <v>10242177.1977339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1">
        <f t="shared" si="0"/>
        <v>66777226.791559011</v>
      </c>
    </row>
    <row r="15" spans="1:32" ht="15" customHeight="1" x14ac:dyDescent="0.25">
      <c r="A15" s="9" t="s">
        <v>44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3306411.26</v>
      </c>
      <c r="N15" s="10">
        <v>826602.81499999994</v>
      </c>
      <c r="O15" s="10">
        <v>2479808.4449999998</v>
      </c>
      <c r="P15" s="10">
        <v>826602.81499999994</v>
      </c>
      <c r="Q15" s="10">
        <v>3306411.26</v>
      </c>
      <c r="R15" s="10">
        <v>1653205.63</v>
      </c>
      <c r="S15" s="10">
        <v>2479808.4449999998</v>
      </c>
      <c r="T15" s="10">
        <v>2831079.6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1">
        <f t="shared" si="0"/>
        <v>17709930.27</v>
      </c>
    </row>
    <row r="16" spans="1:32" ht="15" customHeight="1" x14ac:dyDescent="0.25">
      <c r="A16" s="9" t="s">
        <v>45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1">
        <f t="shared" si="0"/>
        <v>0</v>
      </c>
    </row>
    <row r="17" spans="1:32" ht="15" customHeight="1" x14ac:dyDescent="0.25">
      <c r="A17" s="9" t="s">
        <v>46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1796347.4125000001</v>
      </c>
      <c r="O17" s="10">
        <v>718538.96499999997</v>
      </c>
      <c r="P17" s="10">
        <v>1437077.93</v>
      </c>
      <c r="Q17" s="10">
        <v>1437077.93</v>
      </c>
      <c r="R17" s="10">
        <v>1437077.93</v>
      </c>
      <c r="S17" s="10">
        <v>359269.48249999998</v>
      </c>
      <c r="T17" s="10">
        <v>1718806.79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1">
        <f t="shared" si="0"/>
        <v>8904196.4399999995</v>
      </c>
    </row>
    <row r="18" spans="1:32" ht="15" customHeight="1" x14ac:dyDescent="0.25">
      <c r="A18" s="9" t="s">
        <v>47</v>
      </c>
      <c r="B18" s="10">
        <v>0</v>
      </c>
      <c r="C18" s="10">
        <v>791187.79599999997</v>
      </c>
      <c r="D18" s="10">
        <v>301404.37079999998</v>
      </c>
      <c r="E18" s="10">
        <v>4265784.6950000003</v>
      </c>
      <c r="F18" s="10">
        <v>688406.98019999999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5178434.2845000001</v>
      </c>
      <c r="N18" s="10">
        <v>3452289.523</v>
      </c>
      <c r="O18" s="10">
        <v>5178434.2845000001</v>
      </c>
      <c r="P18" s="10">
        <v>3452289.523</v>
      </c>
      <c r="Q18" s="10">
        <v>3452289.523</v>
      </c>
      <c r="R18" s="10">
        <v>6639957.6124999896</v>
      </c>
      <c r="S18" s="10">
        <v>1122416.6375</v>
      </c>
      <c r="T18" s="10">
        <v>4012087.9400000102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1">
        <f t="shared" si="0"/>
        <v>38534983.170000009</v>
      </c>
    </row>
    <row r="19" spans="1:32" ht="15" customHeight="1" x14ac:dyDescent="0.25">
      <c r="A19" s="12" t="s">
        <v>48</v>
      </c>
      <c r="B19" s="13">
        <v>22125479.909612101</v>
      </c>
      <c r="C19" s="14">
        <f t="shared" ref="C19:AE19" si="1">SUM(C6:C18)</f>
        <v>1121587.7960000001</v>
      </c>
      <c r="D19" s="14">
        <f t="shared" si="1"/>
        <v>429788.37079999998</v>
      </c>
      <c r="E19" s="14">
        <f t="shared" si="1"/>
        <v>5799618.3224030202</v>
      </c>
      <c r="F19" s="14">
        <f t="shared" si="1"/>
        <v>688406.98019999999</v>
      </c>
      <c r="G19" s="14">
        <f t="shared" si="1"/>
        <v>1895547.5716840001</v>
      </c>
      <c r="H19" s="14">
        <f t="shared" si="1"/>
        <v>4597021.0204079999</v>
      </c>
      <c r="I19" s="14">
        <f t="shared" si="1"/>
        <v>11213300.904783459</v>
      </c>
      <c r="J19" s="14">
        <f t="shared" si="1"/>
        <v>2233363.79118127</v>
      </c>
      <c r="K19" s="14">
        <f t="shared" si="1"/>
        <v>25883233.068144809</v>
      </c>
      <c r="L19" s="14">
        <f t="shared" si="1"/>
        <v>19023862.73209551</v>
      </c>
      <c r="M19" s="14">
        <f t="shared" si="1"/>
        <v>30184986.256797109</v>
      </c>
      <c r="N19" s="14">
        <f t="shared" si="1"/>
        <v>22131186.533038788</v>
      </c>
      <c r="O19" s="14">
        <f t="shared" si="1"/>
        <v>22631604.3916559</v>
      </c>
      <c r="P19" s="14">
        <f t="shared" si="1"/>
        <v>18550349.1751559</v>
      </c>
      <c r="Q19" s="14">
        <f t="shared" si="1"/>
        <v>14846961.018155901</v>
      </c>
      <c r="R19" s="14">
        <f t="shared" si="1"/>
        <v>19972418.37023389</v>
      </c>
      <c r="S19" s="14">
        <f t="shared" si="1"/>
        <v>3961494.5649999995</v>
      </c>
      <c r="T19" s="14">
        <f t="shared" si="1"/>
        <v>8561974.3300000113</v>
      </c>
      <c r="U19" s="14">
        <f t="shared" si="1"/>
        <v>0</v>
      </c>
      <c r="V19" s="14">
        <f t="shared" si="1"/>
        <v>0</v>
      </c>
      <c r="W19" s="14">
        <f t="shared" si="1"/>
        <v>0</v>
      </c>
      <c r="X19" s="14">
        <f t="shared" si="1"/>
        <v>0</v>
      </c>
      <c r="Y19" s="14">
        <f t="shared" si="1"/>
        <v>0</v>
      </c>
      <c r="Z19" s="14">
        <f t="shared" si="1"/>
        <v>0</v>
      </c>
      <c r="AA19" s="14">
        <f t="shared" si="1"/>
        <v>0</v>
      </c>
      <c r="AB19" s="14">
        <f t="shared" si="1"/>
        <v>0</v>
      </c>
      <c r="AC19" s="14">
        <f t="shared" si="1"/>
        <v>0</v>
      </c>
      <c r="AD19" s="14">
        <f t="shared" si="1"/>
        <v>0</v>
      </c>
      <c r="AE19" s="14">
        <f t="shared" si="1"/>
        <v>0</v>
      </c>
      <c r="AF19" s="14">
        <f>SUM(B19:AE19)</f>
        <v>235852185.10734966</v>
      </c>
    </row>
    <row r="21" spans="1:32" ht="15" customHeight="1" x14ac:dyDescent="0.25">
      <c r="A21" s="9" t="s">
        <v>49</v>
      </c>
      <c r="B21" s="10">
        <v>0</v>
      </c>
      <c r="C21" s="10">
        <v>360773.793846154</v>
      </c>
      <c r="D21" s="10">
        <v>360773.793846154</v>
      </c>
      <c r="E21" s="10">
        <v>721547.58769230801</v>
      </c>
      <c r="F21" s="10">
        <v>1443095.17538462</v>
      </c>
      <c r="G21" s="10">
        <v>1443095.17538462</v>
      </c>
      <c r="H21" s="10">
        <v>1443095.17538462</v>
      </c>
      <c r="I21" s="10">
        <v>1443095.17538462</v>
      </c>
      <c r="J21" s="10">
        <v>1443095.17538462</v>
      </c>
      <c r="K21" s="10">
        <v>721547.58769230801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1">
        <f t="shared" ref="AF21:AF44" si="2">SUM(B21,C21:AE21)</f>
        <v>9380118.6400000229</v>
      </c>
    </row>
    <row r="22" spans="1:32" ht="15" customHeight="1" x14ac:dyDescent="0.25">
      <c r="A22" s="9" t="s">
        <v>50</v>
      </c>
      <c r="B22" s="10">
        <v>0</v>
      </c>
      <c r="C22" s="10">
        <v>446815.89</v>
      </c>
      <c r="D22" s="10">
        <v>446815.89</v>
      </c>
      <c r="E22" s="10">
        <v>893631.78</v>
      </c>
      <c r="F22" s="10">
        <v>1787263.56</v>
      </c>
      <c r="G22" s="10">
        <v>1787263.56</v>
      </c>
      <c r="H22" s="10">
        <v>1787263.56</v>
      </c>
      <c r="I22" s="10">
        <v>1787263.56</v>
      </c>
      <c r="J22" s="10">
        <v>1787263.56</v>
      </c>
      <c r="K22" s="10">
        <v>893631.78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1">
        <f t="shared" si="2"/>
        <v>11617213.140000001</v>
      </c>
    </row>
    <row r="23" spans="1:32" ht="15" customHeight="1" x14ac:dyDescent="0.25">
      <c r="A23" s="9" t="s">
        <v>51</v>
      </c>
      <c r="B23" s="10">
        <v>0</v>
      </c>
      <c r="C23" s="10">
        <v>44847.284615384597</v>
      </c>
      <c r="D23" s="10">
        <v>44847.284615384597</v>
      </c>
      <c r="E23" s="10">
        <v>89694.569230769193</v>
      </c>
      <c r="F23" s="10">
        <v>179389.13846153801</v>
      </c>
      <c r="G23" s="10">
        <v>179389.13846153801</v>
      </c>
      <c r="H23" s="10">
        <v>179389.13846153801</v>
      </c>
      <c r="I23" s="10">
        <v>179389.13846153801</v>
      </c>
      <c r="J23" s="10">
        <v>179389.13846153801</v>
      </c>
      <c r="K23" s="10">
        <v>89694.569230769193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1">
        <f t="shared" si="2"/>
        <v>1166029.3999999976</v>
      </c>
    </row>
    <row r="24" spans="1:32" ht="15" customHeight="1" x14ac:dyDescent="0.25">
      <c r="A24" s="9" t="s">
        <v>52</v>
      </c>
      <c r="B24" s="10">
        <v>0</v>
      </c>
      <c r="C24" s="10">
        <v>534800.56000000006</v>
      </c>
      <c r="D24" s="10">
        <v>534800.56000000006</v>
      </c>
      <c r="E24" s="10">
        <v>1069601.1200000001</v>
      </c>
      <c r="F24" s="10">
        <v>2139202.2400000002</v>
      </c>
      <c r="G24" s="10">
        <v>2139202.2400000002</v>
      </c>
      <c r="H24" s="10">
        <v>2139202.2400000002</v>
      </c>
      <c r="I24" s="10">
        <v>2139202.2400000002</v>
      </c>
      <c r="J24" s="10">
        <v>2139202.2400000002</v>
      </c>
      <c r="K24" s="10">
        <v>1069601.1200000001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1">
        <f t="shared" si="2"/>
        <v>13904814.560000002</v>
      </c>
    </row>
    <row r="25" spans="1:32" ht="15" customHeight="1" x14ac:dyDescent="0.25">
      <c r="A25" s="9" t="s">
        <v>53</v>
      </c>
      <c r="B25" s="10">
        <v>0</v>
      </c>
      <c r="C25" s="10">
        <v>0</v>
      </c>
      <c r="D25" s="10">
        <v>0</v>
      </c>
      <c r="E25" s="10">
        <v>79839.163499999995</v>
      </c>
      <c r="F25" s="10">
        <v>958069.96200000006</v>
      </c>
      <c r="G25" s="10">
        <v>2475014.0685000001</v>
      </c>
      <c r="H25" s="10">
        <v>3353244.8670000001</v>
      </c>
      <c r="I25" s="10">
        <v>4790349.8099999996</v>
      </c>
      <c r="J25" s="10">
        <v>4950028.1370000001</v>
      </c>
      <c r="K25" s="10">
        <v>6227454.7529999996</v>
      </c>
      <c r="L25" s="10">
        <v>4790349.8099999996</v>
      </c>
      <c r="M25" s="10">
        <v>4790349.8099999996</v>
      </c>
      <c r="N25" s="10">
        <v>4790349.8099999996</v>
      </c>
      <c r="O25" s="10">
        <v>4311314.8289999999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1">
        <f t="shared" si="2"/>
        <v>41516365.019999996</v>
      </c>
    </row>
    <row r="26" spans="1:32" ht="15" customHeight="1" x14ac:dyDescent="0.25">
      <c r="A26" s="9" t="s">
        <v>54</v>
      </c>
      <c r="B26" s="10">
        <v>0</v>
      </c>
      <c r="C26" s="10">
        <v>0</v>
      </c>
      <c r="D26" s="10">
        <v>0</v>
      </c>
      <c r="E26" s="10">
        <v>344766.79884615401</v>
      </c>
      <c r="F26" s="10">
        <v>1379067.19538462</v>
      </c>
      <c r="G26" s="10">
        <v>2413367.5919230799</v>
      </c>
      <c r="H26" s="10">
        <v>3447667.9884615401</v>
      </c>
      <c r="I26" s="10">
        <v>4137201.58615385</v>
      </c>
      <c r="J26" s="10">
        <v>4826735.1838461496</v>
      </c>
      <c r="K26" s="10">
        <v>4826735.1838461496</v>
      </c>
      <c r="L26" s="10">
        <v>4137201.58615385</v>
      </c>
      <c r="M26" s="10">
        <v>4137201.58615385</v>
      </c>
      <c r="N26" s="10">
        <v>4137201.58615385</v>
      </c>
      <c r="O26" s="10">
        <v>2068600.7930769201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1">
        <f t="shared" si="2"/>
        <v>35855747.080000013</v>
      </c>
    </row>
    <row r="27" spans="1:32" ht="15" customHeight="1" x14ac:dyDescent="0.25">
      <c r="A27" s="9" t="s">
        <v>55</v>
      </c>
      <c r="B27" s="10">
        <v>0</v>
      </c>
      <c r="C27" s="10">
        <v>0</v>
      </c>
      <c r="D27" s="10">
        <v>0</v>
      </c>
      <c r="E27" s="10">
        <v>333722.1925</v>
      </c>
      <c r="F27" s="10">
        <v>1668610.9624999999</v>
      </c>
      <c r="G27" s="10">
        <v>2669777.54</v>
      </c>
      <c r="H27" s="10">
        <v>3670944.1175000002</v>
      </c>
      <c r="I27" s="10">
        <v>4004666.31</v>
      </c>
      <c r="J27" s="10">
        <v>4672110.6950000003</v>
      </c>
      <c r="K27" s="10">
        <v>4672110.6950000003</v>
      </c>
      <c r="L27" s="10">
        <v>4004666.31</v>
      </c>
      <c r="M27" s="10">
        <v>4004666.31</v>
      </c>
      <c r="N27" s="10">
        <v>4004666.31</v>
      </c>
      <c r="O27" s="10">
        <v>1001166.5775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1">
        <f t="shared" si="2"/>
        <v>34707108.020000003</v>
      </c>
    </row>
    <row r="28" spans="1:32" ht="15" customHeight="1" x14ac:dyDescent="0.25">
      <c r="A28" s="9" t="s">
        <v>56</v>
      </c>
      <c r="B28" s="10">
        <v>0</v>
      </c>
      <c r="C28" s="10">
        <v>0</v>
      </c>
      <c r="D28" s="10">
        <v>0</v>
      </c>
      <c r="E28" s="10">
        <v>88641.51</v>
      </c>
      <c r="F28" s="10">
        <v>354566.04</v>
      </c>
      <c r="G28" s="10">
        <v>620490.56999999995</v>
      </c>
      <c r="H28" s="10">
        <v>886415.1</v>
      </c>
      <c r="I28" s="10">
        <v>1063698.1200000001</v>
      </c>
      <c r="J28" s="10">
        <v>1240981.1399999999</v>
      </c>
      <c r="K28" s="10">
        <v>1240981.1399999999</v>
      </c>
      <c r="L28" s="10">
        <v>1063698.1200000001</v>
      </c>
      <c r="M28" s="10">
        <v>1063698.1200000001</v>
      </c>
      <c r="N28" s="10">
        <v>1063698.1200000001</v>
      </c>
      <c r="O28" s="10">
        <v>531849.06000000006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1">
        <f t="shared" si="2"/>
        <v>9218717.040000001</v>
      </c>
    </row>
    <row r="29" spans="1:32" ht="15" customHeight="1" x14ac:dyDescent="0.25">
      <c r="A29" s="9" t="s">
        <v>57</v>
      </c>
      <c r="B29" s="10">
        <v>0</v>
      </c>
      <c r="C29" s="10">
        <v>0</v>
      </c>
      <c r="D29" s="10">
        <v>0</v>
      </c>
      <c r="E29" s="10">
        <v>58435.092499999999</v>
      </c>
      <c r="F29" s="10">
        <v>233740.37</v>
      </c>
      <c r="G29" s="10">
        <v>409045.64750000002</v>
      </c>
      <c r="H29" s="10">
        <v>584350.92500000005</v>
      </c>
      <c r="I29" s="10">
        <v>701221.11</v>
      </c>
      <c r="J29" s="10">
        <v>818091.29500000004</v>
      </c>
      <c r="K29" s="10">
        <v>818091.29500000004</v>
      </c>
      <c r="L29" s="10">
        <v>701221.11</v>
      </c>
      <c r="M29" s="10">
        <v>701221.11</v>
      </c>
      <c r="N29" s="10">
        <v>701221.11</v>
      </c>
      <c r="O29" s="10">
        <v>350610.55499999999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1">
        <f t="shared" si="2"/>
        <v>6077249.6200000001</v>
      </c>
    </row>
    <row r="30" spans="1:32" ht="15" customHeight="1" x14ac:dyDescent="0.25">
      <c r="A30" s="9" t="s">
        <v>58</v>
      </c>
      <c r="B30" s="10">
        <v>0</v>
      </c>
      <c r="C30" s="10">
        <v>0</v>
      </c>
      <c r="D30" s="10">
        <v>0</v>
      </c>
      <c r="E30" s="10">
        <v>64617.03</v>
      </c>
      <c r="F30" s="10">
        <v>258468.12</v>
      </c>
      <c r="G30" s="10">
        <v>452319.21</v>
      </c>
      <c r="H30" s="10">
        <v>646170.30000000005</v>
      </c>
      <c r="I30" s="10">
        <v>775404.36</v>
      </c>
      <c r="J30" s="10">
        <v>904638.42</v>
      </c>
      <c r="K30" s="10">
        <v>904638.42</v>
      </c>
      <c r="L30" s="10">
        <v>775404.36</v>
      </c>
      <c r="M30" s="10">
        <v>775404.36</v>
      </c>
      <c r="N30" s="10">
        <v>775404.36</v>
      </c>
      <c r="O30" s="10">
        <v>387702.18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1">
        <f t="shared" si="2"/>
        <v>6720171.1200000001</v>
      </c>
    </row>
    <row r="31" spans="1:32" ht="15" customHeight="1" x14ac:dyDescent="0.25">
      <c r="A31" s="9" t="s">
        <v>59</v>
      </c>
      <c r="B31" s="10">
        <v>0</v>
      </c>
      <c r="C31" s="10">
        <v>0</v>
      </c>
      <c r="D31" s="10">
        <v>0</v>
      </c>
      <c r="E31" s="10">
        <v>16494.715</v>
      </c>
      <c r="F31" s="10">
        <v>65978.86</v>
      </c>
      <c r="G31" s="10">
        <v>115463.005</v>
      </c>
      <c r="H31" s="10">
        <v>164947.15</v>
      </c>
      <c r="I31" s="10">
        <v>197936.58</v>
      </c>
      <c r="J31" s="10">
        <v>230926.01</v>
      </c>
      <c r="K31" s="10">
        <v>230926.01</v>
      </c>
      <c r="L31" s="10">
        <v>197936.58</v>
      </c>
      <c r="M31" s="10">
        <v>197936.58</v>
      </c>
      <c r="N31" s="10">
        <v>197936.58</v>
      </c>
      <c r="O31" s="10">
        <v>98968.29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1">
        <f t="shared" si="2"/>
        <v>1715450.36</v>
      </c>
    </row>
    <row r="32" spans="1:32" ht="15" customHeight="1" x14ac:dyDescent="0.25">
      <c r="A32" s="9" t="s">
        <v>60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2658473.8199999998</v>
      </c>
      <c r="H32" s="10">
        <v>2658473.8199999998</v>
      </c>
      <c r="I32" s="10">
        <v>2658473.8199999998</v>
      </c>
      <c r="J32" s="10">
        <v>2658473.8199999998</v>
      </c>
      <c r="K32" s="10">
        <v>2658473.8199999998</v>
      </c>
      <c r="L32" s="10">
        <v>2658473.8199999998</v>
      </c>
      <c r="M32" s="10">
        <v>2658473.8199999998</v>
      </c>
      <c r="N32" s="10">
        <v>2658473.8199999998</v>
      </c>
      <c r="O32" s="10">
        <v>1772315.88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1">
        <f t="shared" si="2"/>
        <v>23040106.439999998</v>
      </c>
    </row>
    <row r="33" spans="1:32" ht="15" customHeight="1" x14ac:dyDescent="0.25">
      <c r="A33" s="9" t="s">
        <v>61</v>
      </c>
      <c r="B33" s="10">
        <v>0</v>
      </c>
      <c r="C33" s="10">
        <v>0</v>
      </c>
      <c r="D33" s="10">
        <v>0</v>
      </c>
      <c r="E33" s="10">
        <v>37171.731730769199</v>
      </c>
      <c r="F33" s="10">
        <v>148686.926923077</v>
      </c>
      <c r="G33" s="10">
        <v>260202.12211538499</v>
      </c>
      <c r="H33" s="10">
        <v>371717.31730769202</v>
      </c>
      <c r="I33" s="10">
        <v>446060.78076923097</v>
      </c>
      <c r="J33" s="10">
        <v>520404.24423076899</v>
      </c>
      <c r="K33" s="10">
        <v>520404.24423076899</v>
      </c>
      <c r="L33" s="10">
        <v>446060.78076923097</v>
      </c>
      <c r="M33" s="10">
        <v>446060.78076923097</v>
      </c>
      <c r="N33" s="10">
        <v>446060.78076923097</v>
      </c>
      <c r="O33" s="10">
        <v>223030.39038461499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1">
        <f t="shared" si="2"/>
        <v>3865860.0999999996</v>
      </c>
    </row>
    <row r="34" spans="1:32" ht="15" customHeight="1" x14ac:dyDescent="0.25">
      <c r="A34" s="9" t="s">
        <v>62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4163643.24</v>
      </c>
      <c r="H34" s="10">
        <v>4163643.24</v>
      </c>
      <c r="I34" s="10">
        <v>4163643.24</v>
      </c>
      <c r="J34" s="10">
        <v>4163643.24</v>
      </c>
      <c r="K34" s="10">
        <v>4163643.24</v>
      </c>
      <c r="L34" s="10">
        <v>4163643.24</v>
      </c>
      <c r="M34" s="10">
        <v>4163643.24</v>
      </c>
      <c r="N34" s="10">
        <v>4163643.24</v>
      </c>
      <c r="O34" s="10">
        <v>2775762.16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1">
        <f t="shared" si="2"/>
        <v>36084908.080000013</v>
      </c>
    </row>
    <row r="35" spans="1:32" ht="15" customHeight="1" x14ac:dyDescent="0.25">
      <c r="A35" s="9" t="s">
        <v>63</v>
      </c>
      <c r="B35" s="10">
        <v>0</v>
      </c>
      <c r="C35" s="10">
        <v>0</v>
      </c>
      <c r="D35" s="10">
        <v>0</v>
      </c>
      <c r="E35" s="10">
        <v>0</v>
      </c>
      <c r="F35" s="10">
        <v>1309112.6469230801</v>
      </c>
      <c r="G35" s="10">
        <v>3927337.94076923</v>
      </c>
      <c r="H35" s="10">
        <v>3927337.94076923</v>
      </c>
      <c r="I35" s="10">
        <v>14400239.116153801</v>
      </c>
      <c r="J35" s="10">
        <v>3927337.94076923</v>
      </c>
      <c r="K35" s="10">
        <v>3927337.94076923</v>
      </c>
      <c r="L35" s="10">
        <v>10472901.1753846</v>
      </c>
      <c r="M35" s="10">
        <v>3927337.94076923</v>
      </c>
      <c r="N35" s="10">
        <v>3927337.94076923</v>
      </c>
      <c r="O35" s="10">
        <v>3927337.94076923</v>
      </c>
      <c r="P35" s="10">
        <v>2618225.2938461499</v>
      </c>
      <c r="Q35" s="10">
        <v>7200119.55807692</v>
      </c>
      <c r="R35" s="10">
        <v>4581894.2642307701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1">
        <f t="shared" si="2"/>
        <v>68073857.639999941</v>
      </c>
    </row>
    <row r="36" spans="1:32" ht="15" customHeight="1" x14ac:dyDescent="0.25">
      <c r="A36" s="9" t="s">
        <v>64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12085286.8338462</v>
      </c>
      <c r="J36" s="10">
        <v>0</v>
      </c>
      <c r="K36" s="10">
        <v>0</v>
      </c>
      <c r="L36" s="10">
        <v>12085286.8338462</v>
      </c>
      <c r="M36" s="10">
        <v>0</v>
      </c>
      <c r="N36" s="10">
        <v>0</v>
      </c>
      <c r="O36" s="10">
        <v>12085286.8338462</v>
      </c>
      <c r="P36" s="10">
        <v>0</v>
      </c>
      <c r="Q36" s="10">
        <v>12085286.8338462</v>
      </c>
      <c r="R36" s="10">
        <v>0</v>
      </c>
      <c r="S36" s="10">
        <v>4028428.9446153799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1">
        <f t="shared" si="2"/>
        <v>52369576.28000018</v>
      </c>
    </row>
    <row r="37" spans="1:32" ht="15" customHeight="1" x14ac:dyDescent="0.25">
      <c r="A37" s="9" t="s">
        <v>65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3049237.5</v>
      </c>
      <c r="I37" s="10">
        <v>6098475</v>
      </c>
      <c r="J37" s="10">
        <v>0</v>
      </c>
      <c r="K37" s="10">
        <v>6098475</v>
      </c>
      <c r="L37" s="10">
        <v>0</v>
      </c>
      <c r="M37" s="10">
        <v>0</v>
      </c>
      <c r="N37" s="10">
        <v>6098475</v>
      </c>
      <c r="O37" s="10">
        <v>0</v>
      </c>
      <c r="P37" s="10">
        <v>3049237.5</v>
      </c>
      <c r="Q37" s="10">
        <v>2032825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1">
        <f t="shared" si="2"/>
        <v>26426725</v>
      </c>
    </row>
    <row r="38" spans="1:32" ht="15" customHeight="1" x14ac:dyDescent="0.25">
      <c r="A38" s="9" t="s">
        <v>66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1267837.52</v>
      </c>
      <c r="L38" s="10">
        <v>1901756.28</v>
      </c>
      <c r="M38" s="10">
        <v>1901756.28</v>
      </c>
      <c r="N38" s="10">
        <v>1901756.28</v>
      </c>
      <c r="O38" s="10">
        <v>1901756.28</v>
      </c>
      <c r="P38" s="10">
        <v>950878.14</v>
      </c>
      <c r="Q38" s="10">
        <v>1901756.28</v>
      </c>
      <c r="R38" s="10">
        <v>1901756.28</v>
      </c>
      <c r="S38" s="10">
        <v>1901756.28</v>
      </c>
      <c r="T38" s="10">
        <v>950878.14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1">
        <f t="shared" si="2"/>
        <v>16481887.76</v>
      </c>
    </row>
    <row r="39" spans="1:32" ht="15" customHeight="1" x14ac:dyDescent="0.25">
      <c r="A39" s="9" t="s">
        <v>67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1596042.5876923101</v>
      </c>
      <c r="L39" s="10">
        <v>2394063.88153846</v>
      </c>
      <c r="M39" s="10">
        <v>2394063.88153846</v>
      </c>
      <c r="N39" s="10">
        <v>2394063.88153846</v>
      </c>
      <c r="O39" s="10">
        <v>2394063.88153846</v>
      </c>
      <c r="P39" s="10">
        <v>1197031.94076923</v>
      </c>
      <c r="Q39" s="10">
        <v>2394063.88153846</v>
      </c>
      <c r="R39" s="10">
        <v>2394063.88153846</v>
      </c>
      <c r="S39" s="10">
        <v>2394063.88153846</v>
      </c>
      <c r="T39" s="10">
        <v>1197031.94076923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1">
        <f t="shared" si="2"/>
        <v>20748553.639999989</v>
      </c>
    </row>
    <row r="40" spans="1:32" ht="15" customHeight="1" x14ac:dyDescent="0.25">
      <c r="A40" s="9" t="s">
        <v>68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1001736.89</v>
      </c>
      <c r="J40" s="10">
        <v>1001736.89</v>
      </c>
      <c r="K40" s="10">
        <v>2003473.78</v>
      </c>
      <c r="L40" s="10">
        <v>2003473.78</v>
      </c>
      <c r="M40" s="10">
        <v>3005210.67</v>
      </c>
      <c r="N40" s="10">
        <v>3005210.67</v>
      </c>
      <c r="O40" s="10">
        <v>2003473.78</v>
      </c>
      <c r="P40" s="10">
        <v>2003473.78</v>
      </c>
      <c r="Q40" s="10">
        <v>2003473.78</v>
      </c>
      <c r="R40" s="10">
        <v>3005210.67</v>
      </c>
      <c r="S40" s="10">
        <v>3005210.67</v>
      </c>
      <c r="T40" s="10">
        <v>2003473.78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1">
        <f t="shared" si="2"/>
        <v>26045159.140000001</v>
      </c>
    </row>
    <row r="41" spans="1:32" ht="15" customHeight="1" x14ac:dyDescent="0.25">
      <c r="A41" s="9" t="s">
        <v>69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500784.59</v>
      </c>
      <c r="J41" s="10">
        <v>500784.59</v>
      </c>
      <c r="K41" s="10">
        <v>1001569.18</v>
      </c>
      <c r="L41" s="10">
        <v>1001569.18</v>
      </c>
      <c r="M41" s="10">
        <v>1502353.77</v>
      </c>
      <c r="N41" s="10">
        <v>1502353.77</v>
      </c>
      <c r="O41" s="10">
        <v>1001569.18</v>
      </c>
      <c r="P41" s="10">
        <v>1001569.18</v>
      </c>
      <c r="Q41" s="10">
        <v>1001569.18</v>
      </c>
      <c r="R41" s="10">
        <v>1502353.77</v>
      </c>
      <c r="S41" s="10">
        <v>1502353.77</v>
      </c>
      <c r="T41" s="10">
        <v>1001569.18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1">
        <f t="shared" si="2"/>
        <v>13020399.339999998</v>
      </c>
    </row>
    <row r="42" spans="1:32" ht="15" customHeight="1" x14ac:dyDescent="0.25">
      <c r="A42" s="9" t="s">
        <v>70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476998.84</v>
      </c>
      <c r="H42" s="10">
        <v>715498.26</v>
      </c>
      <c r="I42" s="10">
        <v>715498.26</v>
      </c>
      <c r="J42" s="10">
        <v>715498.26</v>
      </c>
      <c r="K42" s="10">
        <v>715498.26</v>
      </c>
      <c r="L42" s="10">
        <v>715498.26</v>
      </c>
      <c r="M42" s="10">
        <v>715498.26</v>
      </c>
      <c r="N42" s="10">
        <v>715498.26</v>
      </c>
      <c r="O42" s="10">
        <v>715498.26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1">
        <f t="shared" si="2"/>
        <v>6200984.919999999</v>
      </c>
    </row>
    <row r="43" spans="1:32" ht="15" customHeight="1" x14ac:dyDescent="0.25">
      <c r="A43" s="9" t="s">
        <v>71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3592025.96</v>
      </c>
      <c r="H43" s="10">
        <v>5388038.9400000004</v>
      </c>
      <c r="I43" s="10">
        <v>5388038.9400000004</v>
      </c>
      <c r="J43" s="10">
        <v>5388038.9400000004</v>
      </c>
      <c r="K43" s="10">
        <v>5388038.9400000004</v>
      </c>
      <c r="L43" s="10">
        <v>5388038.9400000004</v>
      </c>
      <c r="M43" s="10">
        <v>5388038.9400000004</v>
      </c>
      <c r="N43" s="10">
        <v>5388038.9400000004</v>
      </c>
      <c r="O43" s="10">
        <v>1796012.98</v>
      </c>
      <c r="P43" s="10">
        <v>3592025.96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1">
        <f t="shared" si="2"/>
        <v>46696337.479999997</v>
      </c>
    </row>
    <row r="44" spans="1:32" ht="15" customHeight="1" x14ac:dyDescent="0.25">
      <c r="A44" s="9" t="s">
        <v>72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347981.54</v>
      </c>
      <c r="M44" s="10">
        <v>521972.31</v>
      </c>
      <c r="N44" s="10">
        <v>521972.31</v>
      </c>
      <c r="O44" s="10">
        <v>521972.31</v>
      </c>
      <c r="P44" s="10">
        <v>521972.31</v>
      </c>
      <c r="Q44" s="10">
        <v>521972.31</v>
      </c>
      <c r="R44" s="10">
        <v>521972.31</v>
      </c>
      <c r="S44" s="10">
        <v>521972.31</v>
      </c>
      <c r="T44" s="10">
        <v>260986.155</v>
      </c>
      <c r="U44" s="10">
        <v>260986.155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1">
        <f t="shared" si="2"/>
        <v>4523760.0200000005</v>
      </c>
    </row>
    <row r="45" spans="1:32" ht="15" customHeight="1" x14ac:dyDescent="0.25">
      <c r="A45" s="12" t="s">
        <v>73</v>
      </c>
      <c r="B45" s="13">
        <v>0</v>
      </c>
      <c r="C45" s="14">
        <f t="shared" ref="C45:AE45" si="3">SUM(C21:C44)</f>
        <v>1387237.5284615387</v>
      </c>
      <c r="D45" s="14">
        <f t="shared" si="3"/>
        <v>1387237.5284615387</v>
      </c>
      <c r="E45" s="14">
        <f t="shared" si="3"/>
        <v>3798163.2909999997</v>
      </c>
      <c r="F45" s="14">
        <f t="shared" si="3"/>
        <v>11925251.197576933</v>
      </c>
      <c r="G45" s="14">
        <f t="shared" si="3"/>
        <v>29783109.669653855</v>
      </c>
      <c r="H45" s="14">
        <f t="shared" si="3"/>
        <v>38576637.579884619</v>
      </c>
      <c r="I45" s="14">
        <f t="shared" si="3"/>
        <v>68677665.460769251</v>
      </c>
      <c r="J45" s="14">
        <f t="shared" si="3"/>
        <v>42068378.919692315</v>
      </c>
      <c r="K45" s="14">
        <f t="shared" si="3"/>
        <v>51036207.066461548</v>
      </c>
      <c r="L45" s="14">
        <f t="shared" si="3"/>
        <v>59249225.587692335</v>
      </c>
      <c r="M45" s="14">
        <f t="shared" si="3"/>
        <v>42294887.769230776</v>
      </c>
      <c r="N45" s="14">
        <f t="shared" si="3"/>
        <v>48393362.769230768</v>
      </c>
      <c r="O45" s="14">
        <f t="shared" si="3"/>
        <v>39868292.161115423</v>
      </c>
      <c r="P45" s="14">
        <f t="shared" si="3"/>
        <v>14934414.104615381</v>
      </c>
      <c r="Q45" s="14">
        <f t="shared" si="3"/>
        <v>29141066.823461581</v>
      </c>
      <c r="R45" s="14">
        <f t="shared" si="3"/>
        <v>13907251.17576923</v>
      </c>
      <c r="S45" s="14">
        <f t="shared" si="3"/>
        <v>13353785.85615384</v>
      </c>
      <c r="T45" s="14">
        <f t="shared" si="3"/>
        <v>5413939.1957692299</v>
      </c>
      <c r="U45" s="14">
        <f t="shared" si="3"/>
        <v>260986.155</v>
      </c>
      <c r="V45" s="14">
        <f t="shared" si="3"/>
        <v>0</v>
      </c>
      <c r="W45" s="14">
        <f t="shared" si="3"/>
        <v>0</v>
      </c>
      <c r="X45" s="14">
        <f t="shared" si="3"/>
        <v>0</v>
      </c>
      <c r="Y45" s="14">
        <f t="shared" si="3"/>
        <v>0</v>
      </c>
      <c r="Z45" s="14">
        <f t="shared" si="3"/>
        <v>0</v>
      </c>
      <c r="AA45" s="14">
        <f t="shared" si="3"/>
        <v>0</v>
      </c>
      <c r="AB45" s="14">
        <f t="shared" si="3"/>
        <v>0</v>
      </c>
      <c r="AC45" s="14">
        <f t="shared" si="3"/>
        <v>0</v>
      </c>
      <c r="AD45" s="14">
        <f t="shared" si="3"/>
        <v>0</v>
      </c>
      <c r="AE45" s="14">
        <f t="shared" si="3"/>
        <v>0</v>
      </c>
      <c r="AF45" s="14">
        <f>SUM(B45:AE45)</f>
        <v>515457099.84000015</v>
      </c>
    </row>
    <row r="47" spans="1:32" ht="15" customHeight="1" x14ac:dyDescent="0.25">
      <c r="A47" s="15" t="s">
        <v>74</v>
      </c>
      <c r="B47" s="16">
        <f t="shared" ref="B47:AF47" si="4">B19+B45</f>
        <v>22125479.909612101</v>
      </c>
      <c r="C47" s="16">
        <f t="shared" si="4"/>
        <v>2508825.3244615388</v>
      </c>
      <c r="D47" s="16">
        <f t="shared" si="4"/>
        <v>1817025.8992615386</v>
      </c>
      <c r="E47" s="16">
        <f t="shared" si="4"/>
        <v>9597781.6134030204</v>
      </c>
      <c r="F47" s="16">
        <f t="shared" si="4"/>
        <v>12613658.177776933</v>
      </c>
      <c r="G47" s="16">
        <f t="shared" si="4"/>
        <v>31678657.241337854</v>
      </c>
      <c r="H47" s="16">
        <f t="shared" si="4"/>
        <v>43173658.600292616</v>
      </c>
      <c r="I47" s="16">
        <f t="shared" si="4"/>
        <v>79890966.365552709</v>
      </c>
      <c r="J47" s="16">
        <f t="shared" si="4"/>
        <v>44301742.710873589</v>
      </c>
      <c r="K47" s="16">
        <f t="shared" si="4"/>
        <v>76919440.134606361</v>
      </c>
      <c r="L47" s="16">
        <f t="shared" si="4"/>
        <v>78273088.319787845</v>
      </c>
      <c r="M47" s="16">
        <f t="shared" si="4"/>
        <v>72479874.026027888</v>
      </c>
      <c r="N47" s="16">
        <f t="shared" si="4"/>
        <v>70524549.302269548</v>
      </c>
      <c r="O47" s="16">
        <f t="shared" si="4"/>
        <v>62499896.552771322</v>
      </c>
      <c r="P47" s="16">
        <f t="shared" si="4"/>
        <v>33484763.279771283</v>
      </c>
      <c r="Q47" s="16">
        <f t="shared" si="4"/>
        <v>43988027.84161748</v>
      </c>
      <c r="R47" s="16">
        <f t="shared" si="4"/>
        <v>33879669.546003118</v>
      </c>
      <c r="S47" s="16">
        <f t="shared" si="4"/>
        <v>17315280.42115384</v>
      </c>
      <c r="T47" s="16">
        <f t="shared" si="4"/>
        <v>13975913.525769241</v>
      </c>
      <c r="U47" s="16">
        <f t="shared" si="4"/>
        <v>260986.155</v>
      </c>
      <c r="V47" s="16">
        <f t="shared" si="4"/>
        <v>0</v>
      </c>
      <c r="W47" s="16">
        <f t="shared" si="4"/>
        <v>0</v>
      </c>
      <c r="X47" s="16">
        <f t="shared" si="4"/>
        <v>0</v>
      </c>
      <c r="Y47" s="16">
        <f t="shared" si="4"/>
        <v>0</v>
      </c>
      <c r="Z47" s="16">
        <f t="shared" si="4"/>
        <v>0</v>
      </c>
      <c r="AA47" s="16">
        <f t="shared" si="4"/>
        <v>0</v>
      </c>
      <c r="AB47" s="16">
        <f t="shared" si="4"/>
        <v>0</v>
      </c>
      <c r="AC47" s="16">
        <f t="shared" si="4"/>
        <v>0</v>
      </c>
      <c r="AD47" s="16">
        <f t="shared" si="4"/>
        <v>0</v>
      </c>
      <c r="AE47" s="16">
        <f t="shared" si="4"/>
        <v>0</v>
      </c>
      <c r="AF47" s="16">
        <f t="shared" si="4"/>
        <v>751309284.94734979</v>
      </c>
    </row>
    <row r="49" spans="1:32" ht="15.75" customHeight="1" x14ac:dyDescent="0.25">
      <c r="A49" s="6" t="s">
        <v>75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" customHeight="1" x14ac:dyDescent="0.25">
      <c r="A50" s="8" t="s">
        <v>3</v>
      </c>
      <c r="B50" s="8" t="s">
        <v>4</v>
      </c>
      <c r="C50" s="8" t="s">
        <v>5</v>
      </c>
      <c r="D50" s="8" t="s">
        <v>6</v>
      </c>
      <c r="E50" s="8" t="s">
        <v>7</v>
      </c>
      <c r="F50" s="8" t="s">
        <v>8</v>
      </c>
      <c r="G50" s="8" t="s">
        <v>9</v>
      </c>
      <c r="H50" s="8" t="s">
        <v>10</v>
      </c>
      <c r="I50" s="8" t="s">
        <v>11</v>
      </c>
      <c r="J50" s="8" t="s">
        <v>12</v>
      </c>
      <c r="K50" s="8" t="s">
        <v>13</v>
      </c>
      <c r="L50" s="8" t="s">
        <v>14</v>
      </c>
      <c r="M50" s="8" t="s">
        <v>15</v>
      </c>
      <c r="N50" s="8" t="s">
        <v>16</v>
      </c>
      <c r="O50" s="8" t="s">
        <v>17</v>
      </c>
      <c r="P50" s="8" t="s">
        <v>18</v>
      </c>
      <c r="Q50" s="8" t="s">
        <v>19</v>
      </c>
      <c r="R50" s="8" t="s">
        <v>20</v>
      </c>
      <c r="S50" s="8" t="s">
        <v>21</v>
      </c>
      <c r="T50" s="8" t="s">
        <v>22</v>
      </c>
      <c r="U50" s="8" t="s">
        <v>23</v>
      </c>
      <c r="V50" s="8" t="s">
        <v>24</v>
      </c>
      <c r="W50" s="8" t="s">
        <v>25</v>
      </c>
      <c r="X50" s="8" t="s">
        <v>26</v>
      </c>
      <c r="Y50" s="8" t="s">
        <v>27</v>
      </c>
      <c r="Z50" s="8" t="s">
        <v>28</v>
      </c>
      <c r="AA50" s="8" t="s">
        <v>29</v>
      </c>
      <c r="AB50" s="8" t="s">
        <v>30</v>
      </c>
      <c r="AC50" s="8" t="s">
        <v>31</v>
      </c>
      <c r="AD50" s="8" t="s">
        <v>32</v>
      </c>
      <c r="AE50" s="8" t="s">
        <v>33</v>
      </c>
      <c r="AF50" s="8" t="s">
        <v>34</v>
      </c>
    </row>
    <row r="51" spans="1:32" ht="15" customHeight="1" x14ac:dyDescent="0.25">
      <c r="A51" s="9" t="s">
        <v>35</v>
      </c>
      <c r="B51" s="11">
        <v>0</v>
      </c>
      <c r="C51" s="17">
        <f>IFERROR(C6*'Comparación Mensual'!C5/C19,0)</f>
        <v>4538720.9862258518</v>
      </c>
      <c r="D51" s="17">
        <f>IFERROR(D6*'Comparación Mensual'!C6/D19,0)</f>
        <v>66566.996385189297</v>
      </c>
      <c r="E51" s="17">
        <f>IFERROR(E6*'Comparación Mensual'!C7/E19,0)</f>
        <v>647841.35249250731</v>
      </c>
      <c r="F51" s="17">
        <f>IFERROR(F6*'Comparación Mensual'!C8/F19,0)</f>
        <v>0</v>
      </c>
      <c r="G51" s="17">
        <f>IFERROR(G6*'Comparación Mensual'!C9/G19,0)</f>
        <v>0</v>
      </c>
      <c r="H51" s="17">
        <f>IFERROR(H6*'Comparación Mensual'!C10/H19,0)</f>
        <v>0</v>
      </c>
      <c r="I51" s="17">
        <f>IFERROR(I6*'Comparación Mensual'!C11/I19,0)</f>
        <v>0</v>
      </c>
      <c r="J51" s="17">
        <f>IFERROR(J6*'Comparación Mensual'!C12/J19,0)</f>
        <v>0</v>
      </c>
      <c r="K51" s="17">
        <f>K6*Reprogramación!$C$14/Reprogramación!$B$14</f>
        <v>0</v>
      </c>
      <c r="L51" s="17">
        <f>L6*Reprogramación!$C$15/Reprogramación!$B$15</f>
        <v>0</v>
      </c>
      <c r="M51" s="17">
        <f t="shared" ref="M51:V51" si="5">M6</f>
        <v>0</v>
      </c>
      <c r="N51" s="17">
        <f t="shared" si="5"/>
        <v>0</v>
      </c>
      <c r="O51" s="17">
        <f t="shared" si="5"/>
        <v>0</v>
      </c>
      <c r="P51" s="17">
        <f t="shared" si="5"/>
        <v>0</v>
      </c>
      <c r="Q51" s="17">
        <f t="shared" si="5"/>
        <v>0</v>
      </c>
      <c r="R51" s="17">
        <f t="shared" si="5"/>
        <v>0</v>
      </c>
      <c r="S51" s="17">
        <f t="shared" si="5"/>
        <v>0</v>
      </c>
      <c r="T51" s="17">
        <f t="shared" si="5"/>
        <v>0</v>
      </c>
      <c r="U51" s="17">
        <f t="shared" si="5"/>
        <v>0</v>
      </c>
      <c r="V51" s="17">
        <f t="shared" si="5"/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1">
        <f t="shared" ref="AF51:AF63" si="6">SUM(B51,C51:AE51)</f>
        <v>5253129.3351035491</v>
      </c>
    </row>
    <row r="52" spans="1:32" ht="15" customHeight="1" x14ac:dyDescent="0.25">
      <c r="A52" s="9" t="s">
        <v>36</v>
      </c>
      <c r="B52" s="11">
        <v>0</v>
      </c>
      <c r="C52" s="17">
        <f>IFERROR(C7*'Comparación Mensual'!C5/C19,0)</f>
        <v>0</v>
      </c>
      <c r="D52" s="17">
        <f>IFERROR(D7*'Comparación Mensual'!C6/D19,0)</f>
        <v>0</v>
      </c>
      <c r="E52" s="17">
        <f>IFERROR(E7*'Comparación Mensual'!C7/E19,0)</f>
        <v>0</v>
      </c>
      <c r="F52" s="17">
        <f>IFERROR(F7*'Comparación Mensual'!C8/F19,0)</f>
        <v>0</v>
      </c>
      <c r="G52" s="17">
        <f>IFERROR(G7*'Comparación Mensual'!C9/G19,0)</f>
        <v>2442502.3199999998</v>
      </c>
      <c r="H52" s="17">
        <f>IFERROR(H7*'Comparación Mensual'!C10/H19,0)</f>
        <v>4340947.83</v>
      </c>
      <c r="I52" s="17">
        <f>IFERROR(I7*'Comparación Mensual'!C11/I19,0)</f>
        <v>2244901.6059493055</v>
      </c>
      <c r="J52" s="17">
        <f>IFERROR(J7*'Comparación Mensual'!C12/J19,0)</f>
        <v>0</v>
      </c>
      <c r="K52" s="17">
        <f>K7*Reprogramación!$C$14/Reprogramación!$B$14</f>
        <v>0</v>
      </c>
      <c r="L52" s="17">
        <f>L7*Reprogramación!$C$15/Reprogramación!$B$15</f>
        <v>0</v>
      </c>
      <c r="M52" s="17">
        <f t="shared" ref="M52:V52" si="7">M7</f>
        <v>0</v>
      </c>
      <c r="N52" s="17">
        <f t="shared" si="7"/>
        <v>0</v>
      </c>
      <c r="O52" s="17">
        <f t="shared" si="7"/>
        <v>0</v>
      </c>
      <c r="P52" s="17">
        <f t="shared" si="7"/>
        <v>0</v>
      </c>
      <c r="Q52" s="17">
        <f t="shared" si="7"/>
        <v>0</v>
      </c>
      <c r="R52" s="17">
        <f t="shared" si="7"/>
        <v>0</v>
      </c>
      <c r="S52" s="17">
        <f t="shared" si="7"/>
        <v>0</v>
      </c>
      <c r="T52" s="17">
        <f t="shared" si="7"/>
        <v>0</v>
      </c>
      <c r="U52" s="17">
        <f t="shared" si="7"/>
        <v>0</v>
      </c>
      <c r="V52" s="17">
        <f t="shared" si="7"/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1">
        <f t="shared" si="6"/>
        <v>9028351.7559493054</v>
      </c>
    </row>
    <row r="53" spans="1:32" ht="15" customHeight="1" x14ac:dyDescent="0.25">
      <c r="A53" s="9" t="s">
        <v>37</v>
      </c>
      <c r="B53" s="11">
        <v>0</v>
      </c>
      <c r="C53" s="17">
        <f>IFERROR(C8*'Comparación Mensual'!C5/C19,0)</f>
        <v>0</v>
      </c>
      <c r="D53" s="17">
        <f>IFERROR(D8*'Comparación Mensual'!C6/D19,0)</f>
        <v>0</v>
      </c>
      <c r="E53" s="17">
        <f>IFERROR(E8*'Comparación Mensual'!C7/E19,0)</f>
        <v>0</v>
      </c>
      <c r="F53" s="17">
        <f>IFERROR(F8*'Comparación Mensual'!C8/F19,0)</f>
        <v>0</v>
      </c>
      <c r="G53" s="17">
        <f>IFERROR(G8*'Comparación Mensual'!C9/G19,0)</f>
        <v>0</v>
      </c>
      <c r="H53" s="17">
        <f>IFERROR(H8*'Comparación Mensual'!C10/H19,0)</f>
        <v>0</v>
      </c>
      <c r="I53" s="17">
        <f>IFERROR(I8*'Comparación Mensual'!C11/I19,0)</f>
        <v>1199585.9502746016</v>
      </c>
      <c r="J53" s="17">
        <f>IFERROR(J8*'Comparación Mensual'!C12/J19,0)</f>
        <v>4468464.0934547493</v>
      </c>
      <c r="K53" s="17">
        <f>K8*Reprogramación!$C$14/Reprogramación!$B$14</f>
        <v>1871864.8982618114</v>
      </c>
      <c r="L53" s="17">
        <f>L8*Reprogramación!$C$15/Reprogramación!$B$15</f>
        <v>2491616.4974692636</v>
      </c>
      <c r="M53" s="17">
        <f t="shared" ref="M53:V53" si="8">M8</f>
        <v>2456464.8243754599</v>
      </c>
      <c r="N53" s="17">
        <f t="shared" si="8"/>
        <v>0</v>
      </c>
      <c r="O53" s="17">
        <f t="shared" si="8"/>
        <v>0</v>
      </c>
      <c r="P53" s="17">
        <f t="shared" si="8"/>
        <v>0</v>
      </c>
      <c r="Q53" s="17">
        <f t="shared" si="8"/>
        <v>0</v>
      </c>
      <c r="R53" s="17">
        <f t="shared" si="8"/>
        <v>0</v>
      </c>
      <c r="S53" s="17">
        <f t="shared" si="8"/>
        <v>0</v>
      </c>
      <c r="T53" s="17">
        <f t="shared" si="8"/>
        <v>0</v>
      </c>
      <c r="U53" s="17">
        <f t="shared" si="8"/>
        <v>0</v>
      </c>
      <c r="V53" s="17">
        <f t="shared" si="8"/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1">
        <f t="shared" si="6"/>
        <v>12487996.263835886</v>
      </c>
    </row>
    <row r="54" spans="1:32" ht="15" customHeight="1" x14ac:dyDescent="0.25">
      <c r="A54" s="9" t="s">
        <v>38</v>
      </c>
      <c r="B54" s="11">
        <v>0</v>
      </c>
      <c r="C54" s="17">
        <f>IFERROR(C9*'Comparación Mensual'!C5/C19,0)</f>
        <v>0</v>
      </c>
      <c r="D54" s="17">
        <f>IFERROR(D9*'Comparación Mensual'!C6/D19,0)</f>
        <v>0</v>
      </c>
      <c r="E54" s="17">
        <f>IFERROR(E9*'Comparación Mensual'!C7/E19,0)</f>
        <v>0</v>
      </c>
      <c r="F54" s="17">
        <f>IFERROR(F9*'Comparación Mensual'!C8/F19,0)</f>
        <v>0</v>
      </c>
      <c r="G54" s="17">
        <f>IFERROR(G9*'Comparación Mensual'!C9/G19,0)</f>
        <v>0</v>
      </c>
      <c r="H54" s="17">
        <f>IFERROR(H9*'Comparación Mensual'!C10/H19,0)</f>
        <v>0</v>
      </c>
      <c r="I54" s="17">
        <f>IFERROR(I9*'Comparación Mensual'!C11/I19,0)</f>
        <v>0</v>
      </c>
      <c r="J54" s="17">
        <f>IFERROR(J9*'Comparación Mensual'!C12/J19,0)</f>
        <v>0</v>
      </c>
      <c r="K54" s="17">
        <f>K9*Reprogramación!$C$14/Reprogramación!$B$14</f>
        <v>989521.95670881239</v>
      </c>
      <c r="L54" s="17">
        <f>L9*Reprogramación!$C$15/Reprogramación!$B$15</f>
        <v>878093.72504507436</v>
      </c>
      <c r="M54" s="17">
        <f t="shared" ref="M54:V54" si="9">M9</f>
        <v>2597116.79177221</v>
      </c>
      <c r="N54" s="17">
        <f t="shared" si="9"/>
        <v>1298558.3958861099</v>
      </c>
      <c r="O54" s="17">
        <f t="shared" si="9"/>
        <v>0</v>
      </c>
      <c r="P54" s="17">
        <f t="shared" si="9"/>
        <v>0</v>
      </c>
      <c r="Q54" s="17">
        <f t="shared" si="9"/>
        <v>0</v>
      </c>
      <c r="R54" s="17">
        <f t="shared" si="9"/>
        <v>0</v>
      </c>
      <c r="S54" s="17">
        <f t="shared" si="9"/>
        <v>0</v>
      </c>
      <c r="T54" s="17">
        <f t="shared" si="9"/>
        <v>0</v>
      </c>
      <c r="U54" s="17">
        <f t="shared" si="9"/>
        <v>0</v>
      </c>
      <c r="V54" s="17">
        <f t="shared" si="9"/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1">
        <f t="shared" si="6"/>
        <v>5763290.869412207</v>
      </c>
    </row>
    <row r="55" spans="1:32" ht="15" customHeight="1" x14ac:dyDescent="0.25">
      <c r="A55" s="9" t="s">
        <v>39</v>
      </c>
      <c r="B55" s="11">
        <v>0</v>
      </c>
      <c r="C55" s="17">
        <f>IFERROR(C10*'Comparación Mensual'!C5/C19,0)</f>
        <v>0</v>
      </c>
      <c r="D55" s="17">
        <f>IFERROR(D10*'Comparación Mensual'!C6/D19,0)</f>
        <v>0</v>
      </c>
      <c r="E55" s="17">
        <f>IFERROR(E10*'Comparación Mensual'!C7/E19,0)</f>
        <v>0</v>
      </c>
      <c r="F55" s="17">
        <f>IFERROR(F10*'Comparación Mensual'!C8/F19,0)</f>
        <v>0</v>
      </c>
      <c r="G55" s="17">
        <f>IFERROR(G10*'Comparación Mensual'!C9/G19,0)</f>
        <v>0</v>
      </c>
      <c r="H55" s="17">
        <f>IFERROR(H10*'Comparación Mensual'!C10/H19,0)</f>
        <v>0</v>
      </c>
      <c r="I55" s="17">
        <f>IFERROR(I10*'Comparación Mensual'!C11/I19,0)</f>
        <v>0</v>
      </c>
      <c r="J55" s="17">
        <f>IFERROR(J10*'Comparación Mensual'!C12/J19,0)</f>
        <v>3656794.4565452496</v>
      </c>
      <c r="K55" s="17">
        <f>K10*Reprogramación!$C$14/Reprogramación!$B$14</f>
        <v>765925.9468361605</v>
      </c>
      <c r="L55" s="17">
        <f>L10*Reprogramación!$C$15/Reprogramación!$B$15</f>
        <v>1019514.6705025935</v>
      </c>
      <c r="M55" s="17">
        <f t="shared" ref="M55:V55" si="10">M10</f>
        <v>1005131.37899354</v>
      </c>
      <c r="N55" s="17">
        <f t="shared" si="10"/>
        <v>502565.68949677201</v>
      </c>
      <c r="O55" s="17">
        <f t="shared" si="10"/>
        <v>0</v>
      </c>
      <c r="P55" s="17">
        <f t="shared" si="10"/>
        <v>0</v>
      </c>
      <c r="Q55" s="17">
        <f t="shared" si="10"/>
        <v>0</v>
      </c>
      <c r="R55" s="17">
        <f t="shared" si="10"/>
        <v>0</v>
      </c>
      <c r="S55" s="17">
        <f t="shared" si="10"/>
        <v>0</v>
      </c>
      <c r="T55" s="17">
        <f t="shared" si="10"/>
        <v>0</v>
      </c>
      <c r="U55" s="17">
        <f t="shared" si="10"/>
        <v>0</v>
      </c>
      <c r="V55" s="17">
        <f t="shared" si="10"/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1">
        <f t="shared" si="6"/>
        <v>6949932.1423743162</v>
      </c>
    </row>
    <row r="56" spans="1:32" ht="15" customHeight="1" x14ac:dyDescent="0.25">
      <c r="A56" s="9" t="s">
        <v>40</v>
      </c>
      <c r="B56" s="11">
        <v>0</v>
      </c>
      <c r="C56" s="17">
        <f>IFERROR(C11*'Comparación Mensual'!C5/C19,0)</f>
        <v>0</v>
      </c>
      <c r="D56" s="17">
        <f>IFERROR(D11*'Comparación Mensual'!C6/D19,0)</f>
        <v>0</v>
      </c>
      <c r="E56" s="17">
        <f>IFERROR(E11*'Comparación Mensual'!C7/E19,0)</f>
        <v>0</v>
      </c>
      <c r="F56" s="17">
        <f>IFERROR(F11*'Comparación Mensual'!C8/F19,0)</f>
        <v>0</v>
      </c>
      <c r="G56" s="17">
        <f>IFERROR(G11*'Comparación Mensual'!C9/G19,0)</f>
        <v>0</v>
      </c>
      <c r="H56" s="17">
        <f>IFERROR(H11*'Comparación Mensual'!C10/H19,0)</f>
        <v>0</v>
      </c>
      <c r="I56" s="17">
        <f>IFERROR(I11*'Comparación Mensual'!C11/I19,0)</f>
        <v>0</v>
      </c>
      <c r="J56" s="17">
        <f>IFERROR(J11*'Comparación Mensual'!C12/J19,0)</f>
        <v>0</v>
      </c>
      <c r="K56" s="17">
        <f>K11*Reprogramación!$C$14/Reprogramación!$B$14</f>
        <v>2368739.4520411282</v>
      </c>
      <c r="L56" s="17">
        <f>L11*Reprogramación!$C$15/Reprogramación!$B$15</f>
        <v>2102000.0971197234</v>
      </c>
      <c r="M56" s="17">
        <f t="shared" ref="M56:V56" si="11">M11</f>
        <v>6217035.3720000004</v>
      </c>
      <c r="N56" s="17">
        <f t="shared" si="11"/>
        <v>6217035.3720000004</v>
      </c>
      <c r="O56" s="17">
        <f t="shared" si="11"/>
        <v>6217035.3720000004</v>
      </c>
      <c r="P56" s="17">
        <f t="shared" si="11"/>
        <v>6183196.602</v>
      </c>
      <c r="Q56" s="17">
        <f t="shared" si="11"/>
        <v>0</v>
      </c>
      <c r="R56" s="17">
        <f t="shared" si="11"/>
        <v>0</v>
      </c>
      <c r="S56" s="17">
        <f t="shared" si="11"/>
        <v>0</v>
      </c>
      <c r="T56" s="17">
        <f t="shared" si="11"/>
        <v>0</v>
      </c>
      <c r="U56" s="17">
        <f t="shared" si="11"/>
        <v>0</v>
      </c>
      <c r="V56" s="17">
        <f t="shared" si="11"/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1">
        <f t="shared" si="6"/>
        <v>29305042.267160855</v>
      </c>
    </row>
    <row r="57" spans="1:32" ht="15" customHeight="1" x14ac:dyDescent="0.25">
      <c r="A57" s="9" t="s">
        <v>41</v>
      </c>
      <c r="B57" s="11">
        <v>0</v>
      </c>
      <c r="C57" s="17">
        <f>IFERROR(C12*'Comparación Mensual'!C5/C19,0)</f>
        <v>0</v>
      </c>
      <c r="D57" s="17">
        <f>IFERROR(D12*'Comparación Mensual'!C6/D19,0)</f>
        <v>0</v>
      </c>
      <c r="E57" s="17">
        <f>IFERROR(E12*'Comparación Mensual'!C7/E19,0)</f>
        <v>0</v>
      </c>
      <c r="F57" s="17">
        <f>IFERROR(F12*'Comparación Mensual'!C8/F19,0)</f>
        <v>0</v>
      </c>
      <c r="G57" s="17">
        <f>IFERROR(G12*'Comparación Mensual'!C9/G19,0)</f>
        <v>0</v>
      </c>
      <c r="H57" s="17">
        <f>IFERROR(H12*'Comparación Mensual'!C10/H19,0)</f>
        <v>0</v>
      </c>
      <c r="I57" s="17">
        <f>IFERROR(I12*'Comparación Mensual'!C11/I19,0)</f>
        <v>0</v>
      </c>
      <c r="J57" s="17">
        <f>IFERROR(J12*'Comparación Mensual'!C12/J19,0)</f>
        <v>0</v>
      </c>
      <c r="K57" s="17">
        <f>K12*Reprogramación!$C$14/Reprogramación!$B$14</f>
        <v>0</v>
      </c>
      <c r="L57" s="17">
        <f>L12*Reprogramación!$C$15/Reprogramación!$B$15</f>
        <v>0</v>
      </c>
      <c r="M57" s="17">
        <f t="shared" ref="M57:V57" si="12">M12</f>
        <v>0</v>
      </c>
      <c r="N57" s="17">
        <f t="shared" si="12"/>
        <v>0</v>
      </c>
      <c r="O57" s="17">
        <f t="shared" si="12"/>
        <v>0</v>
      </c>
      <c r="P57" s="17">
        <f t="shared" si="12"/>
        <v>0</v>
      </c>
      <c r="Q57" s="17">
        <f t="shared" si="12"/>
        <v>0</v>
      </c>
      <c r="R57" s="17">
        <f t="shared" si="12"/>
        <v>0</v>
      </c>
      <c r="S57" s="17">
        <f t="shared" si="12"/>
        <v>0</v>
      </c>
      <c r="T57" s="17">
        <f t="shared" si="12"/>
        <v>0</v>
      </c>
      <c r="U57" s="17">
        <f t="shared" si="12"/>
        <v>0</v>
      </c>
      <c r="V57" s="17">
        <f t="shared" si="12"/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1">
        <f t="shared" si="6"/>
        <v>0</v>
      </c>
    </row>
    <row r="58" spans="1:32" ht="15" customHeight="1" x14ac:dyDescent="0.25">
      <c r="A58" s="9" t="s">
        <v>42</v>
      </c>
      <c r="B58" s="11">
        <v>0</v>
      </c>
      <c r="C58" s="17">
        <f>IFERROR(C13*'Comparación Mensual'!C5/C19,0)</f>
        <v>0</v>
      </c>
      <c r="D58" s="17">
        <f>IFERROR(D13*'Comparación Mensual'!C6/D19,0)</f>
        <v>0</v>
      </c>
      <c r="E58" s="17">
        <f>IFERROR(E13*'Comparación Mensual'!C7/E19,0)</f>
        <v>0</v>
      </c>
      <c r="F58" s="17">
        <f>IFERROR(F13*'Comparación Mensual'!C8/F19,0)</f>
        <v>0</v>
      </c>
      <c r="G58" s="17">
        <f>IFERROR(G13*'Comparación Mensual'!C9/G19,0)</f>
        <v>0</v>
      </c>
      <c r="H58" s="17">
        <f>IFERROR(H13*'Comparación Mensual'!C10/H19,0)</f>
        <v>0</v>
      </c>
      <c r="I58" s="17">
        <f>IFERROR(I13*'Comparación Mensual'!C11/I19,0)</f>
        <v>2031397.1737760939</v>
      </c>
      <c r="J58" s="17">
        <f>IFERROR(J13*'Comparación Mensual'!C12/J19,0)</f>
        <v>0</v>
      </c>
      <c r="K58" s="17">
        <f>K13*Reprogramación!$C$14/Reprogramación!$B$14</f>
        <v>1056614.8714755219</v>
      </c>
      <c r="L58" s="17">
        <f>L13*Reprogramación!$C$15/Reprogramación!$B$15</f>
        <v>1875262.8623176478</v>
      </c>
      <c r="M58" s="17">
        <f t="shared" ref="M58:V58" si="13">M13</f>
        <v>2773210.04</v>
      </c>
      <c r="N58" s="17">
        <f t="shared" si="13"/>
        <v>1386605.02</v>
      </c>
      <c r="O58" s="17">
        <f t="shared" si="13"/>
        <v>1386605.02</v>
      </c>
      <c r="P58" s="17">
        <f t="shared" si="13"/>
        <v>0</v>
      </c>
      <c r="Q58" s="17">
        <f t="shared" si="13"/>
        <v>0</v>
      </c>
      <c r="R58" s="17">
        <f t="shared" si="13"/>
        <v>0</v>
      </c>
      <c r="S58" s="17">
        <f t="shared" si="13"/>
        <v>0</v>
      </c>
      <c r="T58" s="17">
        <f t="shared" si="13"/>
        <v>0</v>
      </c>
      <c r="U58" s="17">
        <f t="shared" si="13"/>
        <v>0</v>
      </c>
      <c r="V58" s="17">
        <f t="shared" si="13"/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1">
        <f t="shared" si="6"/>
        <v>10509694.987569263</v>
      </c>
    </row>
    <row r="59" spans="1:32" ht="15" customHeight="1" x14ac:dyDescent="0.25">
      <c r="A59" s="9" t="s">
        <v>43</v>
      </c>
      <c r="B59" s="11">
        <v>0</v>
      </c>
      <c r="C59" s="17">
        <f>IFERROR(C14*'Comparación Mensual'!C5/C19,0)</f>
        <v>0</v>
      </c>
      <c r="D59" s="17">
        <f>IFERROR(D14*'Comparación Mensual'!C6/D19,0)</f>
        <v>0</v>
      </c>
      <c r="E59" s="17">
        <f>IFERROR(E14*'Comparación Mensual'!C7/E19,0)</f>
        <v>0</v>
      </c>
      <c r="F59" s="17">
        <f>IFERROR(F14*'Comparación Mensual'!C8/F19,0)</f>
        <v>0</v>
      </c>
      <c r="G59" s="17">
        <f>IFERROR(G14*'Comparación Mensual'!C9/G19,0)</f>
        <v>0</v>
      </c>
      <c r="H59" s="17">
        <f>IFERROR(H14*'Comparación Mensual'!C10/H19,0)</f>
        <v>0</v>
      </c>
      <c r="I59" s="17">
        <f>IFERROR(I14*'Comparación Mensual'!C11/I19,0)</f>
        <v>0</v>
      </c>
      <c r="J59" s="17">
        <f>IFERROR(J14*'Comparación Mensual'!C12/J19,0)</f>
        <v>0</v>
      </c>
      <c r="K59" s="17">
        <f>K14*Reprogramación!$C$14/Reprogramación!$B$14</f>
        <v>12670764.268043948</v>
      </c>
      <c r="L59" s="17">
        <f>L14*Reprogramación!$C$15/Reprogramación!$B$15</f>
        <v>4497573.204863756</v>
      </c>
      <c r="M59" s="17">
        <f t="shared" ref="M59:V59" si="14">M14</f>
        <v>6651182.3051559003</v>
      </c>
      <c r="N59" s="17">
        <f t="shared" si="14"/>
        <v>6651182.3051559003</v>
      </c>
      <c r="O59" s="17">
        <f t="shared" si="14"/>
        <v>6651182.3051559003</v>
      </c>
      <c r="P59" s="17">
        <f t="shared" si="14"/>
        <v>6651182.3051559003</v>
      </c>
      <c r="Q59" s="17">
        <f t="shared" si="14"/>
        <v>6651182.3051559003</v>
      </c>
      <c r="R59" s="17">
        <f t="shared" si="14"/>
        <v>10242177.1977339</v>
      </c>
      <c r="S59" s="17">
        <f t="shared" si="14"/>
        <v>0</v>
      </c>
      <c r="T59" s="17">
        <f t="shared" si="14"/>
        <v>0</v>
      </c>
      <c r="U59" s="17">
        <f t="shared" si="14"/>
        <v>0</v>
      </c>
      <c r="V59" s="17">
        <f t="shared" si="14"/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1">
        <f t="shared" si="6"/>
        <v>60666426.196421109</v>
      </c>
    </row>
    <row r="60" spans="1:32" ht="15" customHeight="1" x14ac:dyDescent="0.25">
      <c r="A60" s="9" t="s">
        <v>44</v>
      </c>
      <c r="B60" s="11">
        <v>0</v>
      </c>
      <c r="C60" s="17">
        <f>IFERROR(C15*'Comparación Mensual'!C5/C19,0)</f>
        <v>0</v>
      </c>
      <c r="D60" s="17">
        <f>IFERROR(D15*'Comparación Mensual'!C6/D19,0)</f>
        <v>0</v>
      </c>
      <c r="E60" s="17">
        <f>IFERROR(E15*'Comparación Mensual'!C7/E19,0)</f>
        <v>0</v>
      </c>
      <c r="F60" s="17">
        <f>IFERROR(F15*'Comparación Mensual'!C8/F19,0)</f>
        <v>0</v>
      </c>
      <c r="G60" s="17">
        <f>IFERROR(G15*'Comparación Mensual'!C9/G19,0)</f>
        <v>0</v>
      </c>
      <c r="H60" s="17">
        <f>IFERROR(H15*'Comparación Mensual'!C10/H19,0)</f>
        <v>0</v>
      </c>
      <c r="I60" s="17">
        <f>IFERROR(I15*'Comparación Mensual'!C11/I19,0)</f>
        <v>0</v>
      </c>
      <c r="J60" s="17">
        <f>IFERROR(J15*'Comparación Mensual'!C12/J19,0)</f>
        <v>0</v>
      </c>
      <c r="K60" s="17">
        <f>K15*Reprogramación!$C$14/Reprogramación!$B$14</f>
        <v>0</v>
      </c>
      <c r="L60" s="17">
        <f>L15*Reprogramación!$C$15/Reprogramación!$B$15</f>
        <v>0</v>
      </c>
      <c r="M60" s="17">
        <f t="shared" ref="M60:V60" si="15">M15</f>
        <v>3306411.26</v>
      </c>
      <c r="N60" s="17">
        <f t="shared" si="15"/>
        <v>826602.81499999994</v>
      </c>
      <c r="O60" s="17">
        <f t="shared" si="15"/>
        <v>2479808.4449999998</v>
      </c>
      <c r="P60" s="17">
        <f t="shared" si="15"/>
        <v>826602.81499999994</v>
      </c>
      <c r="Q60" s="17">
        <f t="shared" si="15"/>
        <v>3306411.26</v>
      </c>
      <c r="R60" s="17">
        <f t="shared" si="15"/>
        <v>1653205.63</v>
      </c>
      <c r="S60" s="17">
        <f t="shared" si="15"/>
        <v>2479808.4449999998</v>
      </c>
      <c r="T60" s="17">
        <f t="shared" si="15"/>
        <v>2831079.6</v>
      </c>
      <c r="U60" s="17">
        <f t="shared" si="15"/>
        <v>0</v>
      </c>
      <c r="V60" s="17">
        <f t="shared" si="15"/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1">
        <f t="shared" si="6"/>
        <v>17709930.27</v>
      </c>
    </row>
    <row r="61" spans="1:32" ht="15" customHeight="1" x14ac:dyDescent="0.25">
      <c r="A61" s="9" t="s">
        <v>45</v>
      </c>
      <c r="B61" s="11">
        <v>0</v>
      </c>
      <c r="C61" s="17">
        <f>IFERROR(C16*'Comparación Mensual'!C5/C19,0)</f>
        <v>0</v>
      </c>
      <c r="D61" s="17">
        <f>IFERROR(D16*'Comparación Mensual'!C6/D19,0)</f>
        <v>0</v>
      </c>
      <c r="E61" s="17">
        <f>IFERROR(E16*'Comparación Mensual'!C7/E19,0)</f>
        <v>0</v>
      </c>
      <c r="F61" s="17">
        <f>IFERROR(F16*'Comparación Mensual'!C8/F19,0)</f>
        <v>0</v>
      </c>
      <c r="G61" s="17">
        <f>IFERROR(G16*'Comparación Mensual'!C9/G19,0)</f>
        <v>0</v>
      </c>
      <c r="H61" s="17">
        <f>IFERROR(H16*'Comparación Mensual'!C10/H19,0)</f>
        <v>0</v>
      </c>
      <c r="I61" s="17">
        <f>IFERROR(I16*'Comparación Mensual'!C11/I19,0)</f>
        <v>0</v>
      </c>
      <c r="J61" s="17">
        <f>IFERROR(J16*'Comparación Mensual'!C12/J19,0)</f>
        <v>0</v>
      </c>
      <c r="K61" s="17">
        <f>K16*Reprogramación!$C$14/Reprogramación!$B$14</f>
        <v>0</v>
      </c>
      <c r="L61" s="17">
        <f>L16*Reprogramación!$C$15/Reprogramación!$B$15</f>
        <v>0</v>
      </c>
      <c r="M61" s="17">
        <f t="shared" ref="M61:V61" si="16">M16</f>
        <v>0</v>
      </c>
      <c r="N61" s="17">
        <f t="shared" si="16"/>
        <v>0</v>
      </c>
      <c r="O61" s="17">
        <f t="shared" si="16"/>
        <v>0</v>
      </c>
      <c r="P61" s="17">
        <f t="shared" si="16"/>
        <v>0</v>
      </c>
      <c r="Q61" s="17">
        <f t="shared" si="16"/>
        <v>0</v>
      </c>
      <c r="R61" s="17">
        <f t="shared" si="16"/>
        <v>0</v>
      </c>
      <c r="S61" s="17">
        <f t="shared" si="16"/>
        <v>0</v>
      </c>
      <c r="T61" s="17">
        <f t="shared" si="16"/>
        <v>0</v>
      </c>
      <c r="U61" s="17">
        <f t="shared" si="16"/>
        <v>0</v>
      </c>
      <c r="V61" s="17">
        <f t="shared" si="16"/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1">
        <f t="shared" si="6"/>
        <v>0</v>
      </c>
    </row>
    <row r="62" spans="1:32" ht="15" customHeight="1" x14ac:dyDescent="0.25">
      <c r="A62" s="9" t="s">
        <v>46</v>
      </c>
      <c r="B62" s="11">
        <v>0</v>
      </c>
      <c r="C62" s="17">
        <f>IFERROR(C17*'Comparación Mensual'!C5/C19,0)</f>
        <v>0</v>
      </c>
      <c r="D62" s="17">
        <f>IFERROR(D17*'Comparación Mensual'!C6/D19,0)</f>
        <v>0</v>
      </c>
      <c r="E62" s="17">
        <f>IFERROR(E17*'Comparación Mensual'!C7/E19,0)</f>
        <v>0</v>
      </c>
      <c r="F62" s="17">
        <f>IFERROR(F17*'Comparación Mensual'!C8/F19,0)</f>
        <v>0</v>
      </c>
      <c r="G62" s="17">
        <f>IFERROR(G17*'Comparación Mensual'!C9/G19,0)</f>
        <v>0</v>
      </c>
      <c r="H62" s="17">
        <f>IFERROR(H17*'Comparación Mensual'!C10/H19,0)</f>
        <v>0</v>
      </c>
      <c r="I62" s="17">
        <f>IFERROR(I17*'Comparación Mensual'!C11/I19,0)</f>
        <v>0</v>
      </c>
      <c r="J62" s="17">
        <f>IFERROR(J17*'Comparación Mensual'!C12/J19,0)</f>
        <v>0</v>
      </c>
      <c r="K62" s="17">
        <f>K17*Reprogramación!$C$14/Reprogramación!$B$14</f>
        <v>0</v>
      </c>
      <c r="L62" s="17">
        <f>L17*Reprogramación!$C$15/Reprogramación!$B$15</f>
        <v>0</v>
      </c>
      <c r="M62" s="17">
        <f t="shared" ref="M62:V62" si="17">M17</f>
        <v>0</v>
      </c>
      <c r="N62" s="17">
        <f t="shared" si="17"/>
        <v>1796347.4125000001</v>
      </c>
      <c r="O62" s="17">
        <f t="shared" si="17"/>
        <v>718538.96499999997</v>
      </c>
      <c r="P62" s="17">
        <f t="shared" si="17"/>
        <v>1437077.93</v>
      </c>
      <c r="Q62" s="17">
        <f t="shared" si="17"/>
        <v>1437077.93</v>
      </c>
      <c r="R62" s="17">
        <f t="shared" si="17"/>
        <v>1437077.93</v>
      </c>
      <c r="S62" s="17">
        <f t="shared" si="17"/>
        <v>359269.48249999998</v>
      </c>
      <c r="T62" s="17">
        <f t="shared" si="17"/>
        <v>1718806.79</v>
      </c>
      <c r="U62" s="17">
        <f t="shared" si="17"/>
        <v>0</v>
      </c>
      <c r="V62" s="17">
        <f t="shared" si="17"/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1">
        <f t="shared" si="6"/>
        <v>8904196.4399999995</v>
      </c>
    </row>
    <row r="63" spans="1:32" ht="15" customHeight="1" x14ac:dyDescent="0.25">
      <c r="A63" s="9" t="s">
        <v>47</v>
      </c>
      <c r="B63" s="11">
        <v>0</v>
      </c>
      <c r="C63" s="17">
        <f>IFERROR(C18*'Comparación Mensual'!C5/C19,0)</f>
        <v>10868585.513774145</v>
      </c>
      <c r="D63" s="17">
        <f>IFERROR(D18*'Comparación Mensual'!C6/D19,0)</f>
        <v>156277.91361481071</v>
      </c>
      <c r="E63" s="17">
        <f>IFERROR(E18*'Comparación Mensual'!C7/E19,0)</f>
        <v>1801728.4775074925</v>
      </c>
      <c r="F63" s="17">
        <f>IFERROR(F18*'Comparación Mensual'!C8/F19,0)</f>
        <v>1833923.4299999997</v>
      </c>
      <c r="G63" s="17">
        <f>IFERROR(G18*'Comparación Mensual'!C9/G19,0)</f>
        <v>0</v>
      </c>
      <c r="H63" s="17">
        <f>IFERROR(H18*'Comparación Mensual'!C10/H19,0)</f>
        <v>0</v>
      </c>
      <c r="I63" s="17">
        <f>IFERROR(I18*'Comparación Mensual'!C11/I19,0)</f>
        <v>0</v>
      </c>
      <c r="J63" s="17">
        <f>IFERROR(J18*'Comparación Mensual'!C12/J19,0)</f>
        <v>0</v>
      </c>
      <c r="K63" s="17">
        <f>K18*Reprogramación!$C$14/Reprogramación!$B$14</f>
        <v>0</v>
      </c>
      <c r="L63" s="17">
        <f>L18*Reprogramación!$C$15/Reprogramación!$B$15</f>
        <v>0</v>
      </c>
      <c r="M63" s="17">
        <f t="shared" ref="M63:V63" si="18">M18</f>
        <v>5178434.2845000001</v>
      </c>
      <c r="N63" s="17">
        <f t="shared" si="18"/>
        <v>3452289.523</v>
      </c>
      <c r="O63" s="17">
        <f t="shared" si="18"/>
        <v>5178434.2845000001</v>
      </c>
      <c r="P63" s="17">
        <f t="shared" si="18"/>
        <v>3452289.523</v>
      </c>
      <c r="Q63" s="17">
        <f t="shared" si="18"/>
        <v>3452289.523</v>
      </c>
      <c r="R63" s="17">
        <f t="shared" si="18"/>
        <v>6639957.6124999896</v>
      </c>
      <c r="S63" s="17">
        <f t="shared" si="18"/>
        <v>1122416.6375</v>
      </c>
      <c r="T63" s="17">
        <f t="shared" si="18"/>
        <v>4012087.9400000102</v>
      </c>
      <c r="U63" s="17">
        <f t="shared" si="18"/>
        <v>0</v>
      </c>
      <c r="V63" s="17">
        <f t="shared" si="18"/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1">
        <f t="shared" si="6"/>
        <v>47148714.662896454</v>
      </c>
    </row>
    <row r="64" spans="1:32" ht="15" customHeight="1" x14ac:dyDescent="0.25">
      <c r="A64" s="12" t="s">
        <v>48</v>
      </c>
      <c r="B64" s="14">
        <f>Reprogramación!$B$6</f>
        <v>22125479.909612101</v>
      </c>
      <c r="C64" s="14">
        <f t="shared" ref="C64:AE64" si="19">SUM(C51:C63)</f>
        <v>15407306.499999996</v>
      </c>
      <c r="D64" s="14">
        <f t="shared" si="19"/>
        <v>222844.91</v>
      </c>
      <c r="E64" s="14">
        <f t="shared" si="19"/>
        <v>2449569.83</v>
      </c>
      <c r="F64" s="14">
        <f t="shared" si="19"/>
        <v>1833923.4299999997</v>
      </c>
      <c r="G64" s="14">
        <f t="shared" si="19"/>
        <v>2442502.3199999998</v>
      </c>
      <c r="H64" s="14">
        <f t="shared" si="19"/>
        <v>4340947.83</v>
      </c>
      <c r="I64" s="14">
        <f t="shared" si="19"/>
        <v>5475884.7300000004</v>
      </c>
      <c r="J64" s="14">
        <f t="shared" si="19"/>
        <v>8125258.5499999989</v>
      </c>
      <c r="K64" s="14">
        <f t="shared" si="19"/>
        <v>19723431.39336738</v>
      </c>
      <c r="L64" s="14">
        <f t="shared" si="19"/>
        <v>12864061.057318058</v>
      </c>
      <c r="M64" s="14">
        <f t="shared" si="19"/>
        <v>30184986.256797109</v>
      </c>
      <c r="N64" s="14">
        <f t="shared" si="19"/>
        <v>22131186.533038788</v>
      </c>
      <c r="O64" s="14">
        <f t="shared" si="19"/>
        <v>22631604.3916559</v>
      </c>
      <c r="P64" s="14">
        <f t="shared" si="19"/>
        <v>18550349.1751559</v>
      </c>
      <c r="Q64" s="14">
        <f t="shared" si="19"/>
        <v>14846961.018155901</v>
      </c>
      <c r="R64" s="14">
        <f t="shared" si="19"/>
        <v>19972418.37023389</v>
      </c>
      <c r="S64" s="14">
        <f t="shared" si="19"/>
        <v>3961494.5649999995</v>
      </c>
      <c r="T64" s="14">
        <f t="shared" si="19"/>
        <v>8561974.3300000113</v>
      </c>
      <c r="U64" s="14">
        <f t="shared" si="19"/>
        <v>0</v>
      </c>
      <c r="V64" s="14">
        <f t="shared" si="19"/>
        <v>0</v>
      </c>
      <c r="W64" s="14">
        <f t="shared" si="19"/>
        <v>0</v>
      </c>
      <c r="X64" s="14">
        <f t="shared" si="19"/>
        <v>0</v>
      </c>
      <c r="Y64" s="14">
        <f t="shared" si="19"/>
        <v>0</v>
      </c>
      <c r="Z64" s="14">
        <f t="shared" si="19"/>
        <v>0</v>
      </c>
      <c r="AA64" s="14">
        <f t="shared" si="19"/>
        <v>0</v>
      </c>
      <c r="AB64" s="14">
        <f t="shared" si="19"/>
        <v>0</v>
      </c>
      <c r="AC64" s="14">
        <f t="shared" si="19"/>
        <v>0</v>
      </c>
      <c r="AD64" s="14">
        <f t="shared" si="19"/>
        <v>0</v>
      </c>
      <c r="AE64" s="14">
        <f t="shared" si="19"/>
        <v>0</v>
      </c>
      <c r="AF64" s="14">
        <f>SUM(B64:AE64)</f>
        <v>235852185.10033503</v>
      </c>
    </row>
    <row r="66" spans="1:32" ht="15" customHeight="1" x14ac:dyDescent="0.25">
      <c r="A66" s="9" t="s">
        <v>49</v>
      </c>
      <c r="B66" s="11">
        <v>0</v>
      </c>
      <c r="C66" s="17">
        <f>IFERROR(C21*'Comparación Mensual'!G5/C45,0)</f>
        <v>257787.43055384254</v>
      </c>
      <c r="D66" s="17">
        <f>IFERROR(D21*'Comparación Mensual'!G6/D45,0)</f>
        <v>554632.16835710232</v>
      </c>
      <c r="E66" s="17">
        <f>IFERROR(E21*'Comparación Mensual'!G7/E45,0)</f>
        <v>1219985.6204191651</v>
      </c>
      <c r="F66" s="17">
        <f>IFERROR(F21*'Comparación Mensual'!G8/F45,0)</f>
        <v>2858735.3717429931</v>
      </c>
      <c r="G66" s="17">
        <f>IFERROR(G21*'Comparación Mensual'!G9/G45,0)</f>
        <v>845636.30450199277</v>
      </c>
      <c r="H66" s="17">
        <f>IFERROR(H21*'Comparación Mensual'!G10/H45,0)</f>
        <v>637576.42511801142</v>
      </c>
      <c r="I66" s="17">
        <f>IFERROR(I21*'Comparación Mensual'!G11/I45,0)</f>
        <v>490300.82863577158</v>
      </c>
      <c r="J66" s="17">
        <f>IFERROR(J21*'Comparación Mensual'!G12/J45,0)</f>
        <v>809908.3690480357</v>
      </c>
      <c r="K66" s="17">
        <f>K21*Reprogramación!$C$40/Reprogramación!$B$40</f>
        <v>1308233.1069790332</v>
      </c>
      <c r="L66" s="17">
        <f>L21*Reprogramación!$C$41/Reprogramación!$B$41</f>
        <v>0</v>
      </c>
      <c r="M66" s="17">
        <f t="shared" ref="M66:V66" si="20">M21</f>
        <v>0</v>
      </c>
      <c r="N66" s="17">
        <f t="shared" si="20"/>
        <v>0</v>
      </c>
      <c r="O66" s="17">
        <f t="shared" si="20"/>
        <v>0</v>
      </c>
      <c r="P66" s="17">
        <f t="shared" si="20"/>
        <v>0</v>
      </c>
      <c r="Q66" s="17">
        <f t="shared" si="20"/>
        <v>0</v>
      </c>
      <c r="R66" s="17">
        <f t="shared" si="20"/>
        <v>0</v>
      </c>
      <c r="S66" s="17">
        <f t="shared" si="20"/>
        <v>0</v>
      </c>
      <c r="T66" s="17">
        <f t="shared" si="20"/>
        <v>0</v>
      </c>
      <c r="U66" s="17">
        <f t="shared" si="20"/>
        <v>0</v>
      </c>
      <c r="V66" s="17">
        <f t="shared" si="20"/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1">
        <f t="shared" ref="AF66:AF89" si="21">SUM(B66,C66:AE66)</f>
        <v>8982795.6253559478</v>
      </c>
    </row>
    <row r="67" spans="1:32" ht="15" customHeight="1" x14ac:dyDescent="0.25">
      <c r="A67" s="9" t="s">
        <v>50</v>
      </c>
      <c r="B67" s="11">
        <v>0</v>
      </c>
      <c r="C67" s="17">
        <f>IFERROR(C22*'Comparación Mensual'!G5/C45,0)</f>
        <v>319267.97948868328</v>
      </c>
      <c r="D67" s="17">
        <f>IFERROR(D22*'Comparación Mensual'!G6/D45,0)</f>
        <v>686908.16837097262</v>
      </c>
      <c r="E67" s="17">
        <f>IFERROR(E22*'Comparación Mensual'!G7/E45,0)</f>
        <v>1510943.8935779356</v>
      </c>
      <c r="F67" s="17">
        <f>IFERROR(F22*'Comparación Mensual'!G8/F45,0)</f>
        <v>3540524.3152015591</v>
      </c>
      <c r="G67" s="17">
        <f>IFERROR(G22*'Comparación Mensual'!G9/G45,0)</f>
        <v>1047314.8118222054</v>
      </c>
      <c r="H67" s="17">
        <f>IFERROR(H22*'Comparación Mensual'!G10/H45,0)</f>
        <v>789634.06625261658</v>
      </c>
      <c r="I67" s="17">
        <f>IFERROR(I22*'Comparación Mensual'!G11/I45,0)</f>
        <v>607234.24165351025</v>
      </c>
      <c r="J67" s="17">
        <f>IFERROR(J22*'Comparación Mensual'!G12/J45,0)</f>
        <v>1003066.0067537036</v>
      </c>
      <c r="K67" s="17">
        <f>K22*Reprogramación!$C$40/Reprogramación!$B$40</f>
        <v>1620237.8054975052</v>
      </c>
      <c r="L67" s="17">
        <f>L22*Reprogramación!$C$41/Reprogramación!$B$41</f>
        <v>0</v>
      </c>
      <c r="M67" s="17">
        <f t="shared" ref="M67:V67" si="22">M22</f>
        <v>0</v>
      </c>
      <c r="N67" s="17">
        <f t="shared" si="22"/>
        <v>0</v>
      </c>
      <c r="O67" s="17">
        <f t="shared" si="22"/>
        <v>0</v>
      </c>
      <c r="P67" s="17">
        <f t="shared" si="22"/>
        <v>0</v>
      </c>
      <c r="Q67" s="17">
        <f t="shared" si="22"/>
        <v>0</v>
      </c>
      <c r="R67" s="17">
        <f t="shared" si="22"/>
        <v>0</v>
      </c>
      <c r="S67" s="17">
        <f t="shared" si="22"/>
        <v>0</v>
      </c>
      <c r="T67" s="17">
        <f t="shared" si="22"/>
        <v>0</v>
      </c>
      <c r="U67" s="17">
        <f t="shared" si="22"/>
        <v>0</v>
      </c>
      <c r="V67" s="17">
        <f t="shared" si="22"/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1">
        <f t="shared" si="21"/>
        <v>11125131.288618691</v>
      </c>
    </row>
    <row r="68" spans="1:32" ht="15" customHeight="1" x14ac:dyDescent="0.25">
      <c r="A68" s="9" t="s">
        <v>51</v>
      </c>
      <c r="B68" s="11">
        <v>0</v>
      </c>
      <c r="C68" s="17">
        <f>IFERROR(C23*'Comparación Mensual'!G5/C45,0)</f>
        <v>32045.194150789383</v>
      </c>
      <c r="D68" s="17">
        <f>IFERROR(D23*'Comparación Mensual'!G6/D45,0)</f>
        <v>68945.547419017559</v>
      </c>
      <c r="E68" s="17">
        <f>IFERROR(E23*'Comparación Mensual'!G7/E45,0)</f>
        <v>151654.70241706722</v>
      </c>
      <c r="F68" s="17">
        <f>IFERROR(F23*'Comparación Mensual'!G8/F45,0)</f>
        <v>355365.38696404384</v>
      </c>
      <c r="G68" s="17">
        <f>IFERROR(G23*'Comparación Mensual'!G9/G45,0)</f>
        <v>105119.86368188093</v>
      </c>
      <c r="H68" s="17">
        <f>IFERROR(H23*'Comparación Mensual'!G10/H45,0)</f>
        <v>79256.231713770234</v>
      </c>
      <c r="I68" s="17">
        <f>IFERROR(I23*'Comparación Mensual'!G11/I45,0)</f>
        <v>60948.60875167654</v>
      </c>
      <c r="J68" s="17">
        <f>IFERROR(J23*'Comparación Mensual'!G12/J45,0)</f>
        <v>100678.5741055461</v>
      </c>
      <c r="K68" s="17">
        <f>K23*Reprogramación!$C$40/Reprogramación!$B$40</f>
        <v>162624.62377457696</v>
      </c>
      <c r="L68" s="17">
        <f>L23*Reprogramación!$C$41/Reprogramación!$B$41</f>
        <v>0</v>
      </c>
      <c r="M68" s="17">
        <f t="shared" ref="M68:V68" si="23">M23</f>
        <v>0</v>
      </c>
      <c r="N68" s="17">
        <f t="shared" si="23"/>
        <v>0</v>
      </c>
      <c r="O68" s="17">
        <f t="shared" si="23"/>
        <v>0</v>
      </c>
      <c r="P68" s="17">
        <f t="shared" si="23"/>
        <v>0</v>
      </c>
      <c r="Q68" s="17">
        <f t="shared" si="23"/>
        <v>0</v>
      </c>
      <c r="R68" s="17">
        <f t="shared" si="23"/>
        <v>0</v>
      </c>
      <c r="S68" s="17">
        <f t="shared" si="23"/>
        <v>0</v>
      </c>
      <c r="T68" s="17">
        <f t="shared" si="23"/>
        <v>0</v>
      </c>
      <c r="U68" s="17">
        <f t="shared" si="23"/>
        <v>0</v>
      </c>
      <c r="V68" s="17">
        <f t="shared" si="23"/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1">
        <f t="shared" si="21"/>
        <v>1116638.7329783686</v>
      </c>
    </row>
    <row r="69" spans="1:32" ht="15" customHeight="1" x14ac:dyDescent="0.25">
      <c r="A69" s="9" t="s">
        <v>52</v>
      </c>
      <c r="B69" s="11">
        <v>0</v>
      </c>
      <c r="C69" s="17">
        <f>IFERROR(C24*'Comparación Mensual'!G5/C45,0)</f>
        <v>382136.57580668479</v>
      </c>
      <c r="D69" s="17">
        <f>IFERROR(D24*'Comparación Mensual'!G6/D45,0)</f>
        <v>822170.5658529076</v>
      </c>
      <c r="E69" s="17">
        <f>IFERROR(E24*'Comparación Mensual'!G7/E45,0)</f>
        <v>1808471.1365436453</v>
      </c>
      <c r="F69" s="17">
        <f>IFERROR(F24*'Comparación Mensual'!G8/F45,0)</f>
        <v>4237706.0190572236</v>
      </c>
      <c r="G69" s="17">
        <f>IFERROR(G24*'Comparación Mensual'!G9/G45,0)</f>
        <v>1253546.6181804994</v>
      </c>
      <c r="H69" s="17">
        <f>IFERROR(H24*'Comparación Mensual'!G10/H45,0)</f>
        <v>945124.71529823274</v>
      </c>
      <c r="I69" s="17">
        <f>IFERROR(I24*'Comparación Mensual'!G11/I45,0)</f>
        <v>726807.66229569993</v>
      </c>
      <c r="J69" s="17">
        <f>IFERROR(J24*'Comparación Mensual'!G12/J45,0)</f>
        <v>1200584.5676814325</v>
      </c>
      <c r="K69" s="17">
        <f>K24*Reprogramación!$C$40/Reprogramación!$B$40</f>
        <v>1939286.6393208103</v>
      </c>
      <c r="L69" s="17">
        <f>L24*Reprogramación!$C$41/Reprogramación!$B$41</f>
        <v>0</v>
      </c>
      <c r="M69" s="17">
        <f t="shared" ref="M69:V69" si="24">M24</f>
        <v>0</v>
      </c>
      <c r="N69" s="17">
        <f t="shared" si="24"/>
        <v>0</v>
      </c>
      <c r="O69" s="17">
        <f t="shared" si="24"/>
        <v>0</v>
      </c>
      <c r="P69" s="17">
        <f t="shared" si="24"/>
        <v>0</v>
      </c>
      <c r="Q69" s="17">
        <f t="shared" si="24"/>
        <v>0</v>
      </c>
      <c r="R69" s="17">
        <f t="shared" si="24"/>
        <v>0</v>
      </c>
      <c r="S69" s="17">
        <f t="shared" si="24"/>
        <v>0</v>
      </c>
      <c r="T69" s="17">
        <f t="shared" si="24"/>
        <v>0</v>
      </c>
      <c r="U69" s="17">
        <f t="shared" si="24"/>
        <v>0</v>
      </c>
      <c r="V69" s="17">
        <f t="shared" si="24"/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1">
        <f t="shared" si="21"/>
        <v>13315834.500037137</v>
      </c>
    </row>
    <row r="70" spans="1:32" ht="15" customHeight="1" x14ac:dyDescent="0.25">
      <c r="A70" s="9" t="s">
        <v>53</v>
      </c>
      <c r="B70" s="11">
        <v>0</v>
      </c>
      <c r="C70" s="17">
        <f>IFERROR(C25*'Comparación Mensual'!G5/C45,0)</f>
        <v>0</v>
      </c>
      <c r="D70" s="17">
        <f>IFERROR(D25*'Comparación Mensual'!G6/D45,0)</f>
        <v>0</v>
      </c>
      <c r="E70" s="17">
        <f>IFERROR(E25*'Comparación Mensual'!G7/E45,0)</f>
        <v>134991.27857639015</v>
      </c>
      <c r="F70" s="17">
        <f>IFERROR(F25*'Comparación Mensual'!G8/F45,0)</f>
        <v>1897912.5810214772</v>
      </c>
      <c r="G70" s="17">
        <f>IFERROR(G25*'Comparación Mensual'!G9/G45,0)</f>
        <v>1450328.2847709311</v>
      </c>
      <c r="H70" s="17">
        <f>IFERROR(H25*'Comparación Mensual'!G10/H45,0)</f>
        <v>1481503.0299559874</v>
      </c>
      <c r="I70" s="17">
        <f>IFERROR(I25*'Comparación Mensual'!G11/I45,0)</f>
        <v>1627552.029388652</v>
      </c>
      <c r="J70" s="17">
        <f>IFERROR(J25*'Comparación Mensual'!G12/J45,0)</f>
        <v>2778104.5100584184</v>
      </c>
      <c r="K70" s="17">
        <f>K25*Reprogramación!$C$40/Reprogramación!$B$40</f>
        <v>11290956.575912874</v>
      </c>
      <c r="L70" s="17">
        <f>L25*Reprogramación!$C$41/Reprogramación!$B$41</f>
        <v>8145433.2919722311</v>
      </c>
      <c r="M70" s="17">
        <f t="shared" ref="M70:V70" si="25">M25</f>
        <v>4790349.8099999996</v>
      </c>
      <c r="N70" s="17">
        <f t="shared" si="25"/>
        <v>4790349.8099999996</v>
      </c>
      <c r="O70" s="17">
        <f t="shared" si="25"/>
        <v>4311314.8289999999</v>
      </c>
      <c r="P70" s="17">
        <f t="shared" si="25"/>
        <v>0</v>
      </c>
      <c r="Q70" s="17">
        <f t="shared" si="25"/>
        <v>0</v>
      </c>
      <c r="R70" s="17">
        <f t="shared" si="25"/>
        <v>0</v>
      </c>
      <c r="S70" s="17">
        <f t="shared" si="25"/>
        <v>0</v>
      </c>
      <c r="T70" s="17">
        <f t="shared" si="25"/>
        <v>0</v>
      </c>
      <c r="U70" s="17">
        <f t="shared" si="25"/>
        <v>0</v>
      </c>
      <c r="V70" s="17">
        <f t="shared" si="25"/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1">
        <f t="shared" si="21"/>
        <v>42698796.030656964</v>
      </c>
    </row>
    <row r="71" spans="1:32" ht="15" customHeight="1" x14ac:dyDescent="0.25">
      <c r="A71" s="9" t="s">
        <v>54</v>
      </c>
      <c r="B71" s="11">
        <v>0</v>
      </c>
      <c r="C71" s="17">
        <f>IFERROR(C26*'Comparación Mensual'!G5/C45,0)</f>
        <v>0</v>
      </c>
      <c r="D71" s="17">
        <f>IFERROR(D26*'Comparación Mensual'!G6/D45,0)</f>
        <v>0</v>
      </c>
      <c r="E71" s="17">
        <f>IFERROR(E26*'Comparación Mensual'!G7/E45,0)</f>
        <v>582928.3392596097</v>
      </c>
      <c r="F71" s="17">
        <f>IFERROR(F26*'Comparación Mensual'!G8/F45,0)</f>
        <v>2731897.5482027205</v>
      </c>
      <c r="G71" s="17">
        <f>IFERROR(G26*'Comparación Mensual'!G9/G45,0)</f>
        <v>1414204.1957106367</v>
      </c>
      <c r="H71" s="17">
        <f>IFERROR(H26*'Comparación Mensual'!G10/H45,0)</f>
        <v>1523220.2758153169</v>
      </c>
      <c r="I71" s="17">
        <f>IFERROR(I26*'Comparación Mensual'!G11/I45,0)</f>
        <v>1405640.7370247245</v>
      </c>
      <c r="J71" s="17">
        <f>IFERROR(J26*'Comparación Mensual'!G12/J45,0)</f>
        <v>2708908.8005118617</v>
      </c>
      <c r="K71" s="17">
        <f>K26*Reprogramación!$C$40/Reprogramación!$B$40</f>
        <v>8751321.2902885824</v>
      </c>
      <c r="L71" s="17">
        <f>L26*Reprogramación!$C$41/Reprogramación!$B$41</f>
        <v>7034830.6224129153</v>
      </c>
      <c r="M71" s="17">
        <f t="shared" ref="M71:V71" si="26">M26</f>
        <v>4137201.58615385</v>
      </c>
      <c r="N71" s="17">
        <f t="shared" si="26"/>
        <v>4137201.58615385</v>
      </c>
      <c r="O71" s="17">
        <f t="shared" si="26"/>
        <v>2068600.7930769201</v>
      </c>
      <c r="P71" s="17">
        <f t="shared" si="26"/>
        <v>0</v>
      </c>
      <c r="Q71" s="17">
        <f t="shared" si="26"/>
        <v>0</v>
      </c>
      <c r="R71" s="17">
        <f t="shared" si="26"/>
        <v>0</v>
      </c>
      <c r="S71" s="17">
        <f t="shared" si="26"/>
        <v>0</v>
      </c>
      <c r="T71" s="17">
        <f t="shared" si="26"/>
        <v>0</v>
      </c>
      <c r="U71" s="17">
        <f t="shared" si="26"/>
        <v>0</v>
      </c>
      <c r="V71" s="17">
        <f t="shared" si="26"/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1">
        <f t="shared" si="21"/>
        <v>36495955.774610981</v>
      </c>
    </row>
    <row r="72" spans="1:32" ht="15" customHeight="1" x14ac:dyDescent="0.25">
      <c r="A72" s="9" t="s">
        <v>55</v>
      </c>
      <c r="B72" s="11">
        <v>0</v>
      </c>
      <c r="C72" s="17">
        <f>IFERROR(C27*'Comparación Mensual'!G5/C45,0)</f>
        <v>0</v>
      </c>
      <c r="D72" s="17">
        <f>IFERROR(D27*'Comparación Mensual'!G6/D45,0)</f>
        <v>0</v>
      </c>
      <c r="E72" s="17">
        <f>IFERROR(E27*'Comparación Mensual'!G7/E45,0)</f>
        <v>564254.22662264237</v>
      </c>
      <c r="F72" s="17">
        <f>IFERROR(F27*'Comparación Mensual'!G8/F45,0)</f>
        <v>3305476.4935414037</v>
      </c>
      <c r="G72" s="17">
        <f>IFERROR(G27*'Comparación Mensual'!G9/G45,0)</f>
        <v>1564457.3215112439</v>
      </c>
      <c r="H72" s="17">
        <f>IFERROR(H27*'Comparación Mensual'!G10/H45,0)</f>
        <v>1621866.2962543969</v>
      </c>
      <c r="I72" s="17">
        <f>IFERROR(I27*'Comparación Mensual'!G11/I45,0)</f>
        <v>1360611.0280837433</v>
      </c>
      <c r="J72" s="17">
        <f>IFERROR(J27*'Comparación Mensual'!G12/J45,0)</f>
        <v>2622128.8918042509</v>
      </c>
      <c r="K72" s="17">
        <f>K27*Reprogramación!$C$40/Reprogramación!$B$40</f>
        <v>8470972.6633806862</v>
      </c>
      <c r="L72" s="17">
        <f>L27*Reprogramación!$C$41/Reprogramación!$B$41</f>
        <v>6809469.7837345591</v>
      </c>
      <c r="M72" s="17">
        <f t="shared" ref="M72:V72" si="27">M27</f>
        <v>4004666.31</v>
      </c>
      <c r="N72" s="17">
        <f t="shared" si="27"/>
        <v>4004666.31</v>
      </c>
      <c r="O72" s="17">
        <f t="shared" si="27"/>
        <v>1001166.5775</v>
      </c>
      <c r="P72" s="17">
        <f t="shared" si="27"/>
        <v>0</v>
      </c>
      <c r="Q72" s="17">
        <f t="shared" si="27"/>
        <v>0</v>
      </c>
      <c r="R72" s="17">
        <f t="shared" si="27"/>
        <v>0</v>
      </c>
      <c r="S72" s="17">
        <f t="shared" si="27"/>
        <v>0</v>
      </c>
      <c r="T72" s="17">
        <f t="shared" si="27"/>
        <v>0</v>
      </c>
      <c r="U72" s="17">
        <f t="shared" si="27"/>
        <v>0</v>
      </c>
      <c r="V72" s="17">
        <f t="shared" si="27"/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1">
        <f t="shared" si="21"/>
        <v>35329735.902432926</v>
      </c>
    </row>
    <row r="73" spans="1:32" ht="15" customHeight="1" x14ac:dyDescent="0.25">
      <c r="A73" s="9" t="s">
        <v>56</v>
      </c>
      <c r="B73" s="11">
        <v>0</v>
      </c>
      <c r="C73" s="17">
        <f>IFERROR(C28*'Comparación Mensual'!G5/C45,0)</f>
        <v>0</v>
      </c>
      <c r="D73" s="17">
        <f>IFERROR(D28*'Comparación Mensual'!G6/D45,0)</f>
        <v>0</v>
      </c>
      <c r="E73" s="17">
        <f>IFERROR(E28*'Comparación Mensual'!G7/E45,0)</f>
        <v>149874.20014541951</v>
      </c>
      <c r="F73" s="17">
        <f>IFERROR(F28*'Comparación Mensual'!G8/F45,0)</f>
        <v>702386.43816177198</v>
      </c>
      <c r="G73" s="17">
        <f>IFERROR(G28*'Comparación Mensual'!G9/G45,0)</f>
        <v>363599.96315093164</v>
      </c>
      <c r="H73" s="17">
        <f>IFERROR(H28*'Comparación Mensual'!G10/H45,0)</f>
        <v>391628.61900497752</v>
      </c>
      <c r="I73" s="17">
        <f>IFERROR(I28*'Comparación Mensual'!G11/I45,0)</f>
        <v>361398.24909005844</v>
      </c>
      <c r="J73" s="17">
        <f>IFERROR(J28*'Comparación Mensual'!G12/J45,0)</f>
        <v>696475.90003818949</v>
      </c>
      <c r="K73" s="17">
        <f>K28*Reprogramación!$C$40/Reprogramación!$B$40</f>
        <v>2250014.6077363002</v>
      </c>
      <c r="L73" s="17">
        <f>L28*Reprogramación!$C$41/Reprogramación!$B$41</f>
        <v>1808695.0688171715</v>
      </c>
      <c r="M73" s="17">
        <f t="shared" ref="M73:V73" si="28">M28</f>
        <v>1063698.1200000001</v>
      </c>
      <c r="N73" s="17">
        <f t="shared" si="28"/>
        <v>1063698.1200000001</v>
      </c>
      <c r="O73" s="17">
        <f t="shared" si="28"/>
        <v>531849.06000000006</v>
      </c>
      <c r="P73" s="17">
        <f t="shared" si="28"/>
        <v>0</v>
      </c>
      <c r="Q73" s="17">
        <f t="shared" si="28"/>
        <v>0</v>
      </c>
      <c r="R73" s="17">
        <f t="shared" si="28"/>
        <v>0</v>
      </c>
      <c r="S73" s="17">
        <f t="shared" si="28"/>
        <v>0</v>
      </c>
      <c r="T73" s="17">
        <f t="shared" si="28"/>
        <v>0</v>
      </c>
      <c r="U73" s="17">
        <f t="shared" si="28"/>
        <v>0</v>
      </c>
      <c r="V73" s="17">
        <f t="shared" si="28"/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1">
        <f t="shared" si="21"/>
        <v>9383318.3461448196</v>
      </c>
    </row>
    <row r="74" spans="1:32" ht="15" customHeight="1" x14ac:dyDescent="0.25">
      <c r="A74" s="9" t="s">
        <v>57</v>
      </c>
      <c r="B74" s="11">
        <v>0</v>
      </c>
      <c r="C74" s="17">
        <f>IFERROR(C29*'Comparación Mensual'!G5/C45,0)</f>
        <v>0</v>
      </c>
      <c r="D74" s="17">
        <f>IFERROR(D29*'Comparación Mensual'!G6/D45,0)</f>
        <v>0</v>
      </c>
      <c r="E74" s="17">
        <f>IFERROR(E29*'Comparación Mensual'!G7/E45,0)</f>
        <v>98801.484190207309</v>
      </c>
      <c r="F74" s="17">
        <f>IFERROR(F29*'Comparación Mensual'!G8/F45,0)</f>
        <v>463033.81434644648</v>
      </c>
      <c r="G74" s="17">
        <f>IFERROR(G29*'Comparación Mensual'!G9/G45,0)</f>
        <v>239695.79804903237</v>
      </c>
      <c r="H74" s="17">
        <f>IFERROR(H29*'Comparación Mensual'!G10/H45,0)</f>
        <v>258173.11299416178</v>
      </c>
      <c r="I74" s="17">
        <f>IFERROR(I29*'Comparación Mensual'!G11/I45,0)</f>
        <v>238244.36333401361</v>
      </c>
      <c r="J74" s="17">
        <f>IFERROR(J29*'Comparación Mensual'!G12/J45,0)</f>
        <v>459137.41364234831</v>
      </c>
      <c r="K74" s="17">
        <f>K29*Reprogramación!$C$40/Reprogramación!$B$40</f>
        <v>1483275.8572075539</v>
      </c>
      <c r="L74" s="17">
        <f>L29*Reprogramación!$C$41/Reprogramación!$B$41</f>
        <v>1192345.0271845015</v>
      </c>
      <c r="M74" s="17">
        <f t="shared" ref="M74:V74" si="29">M29</f>
        <v>701221.11</v>
      </c>
      <c r="N74" s="17">
        <f t="shared" si="29"/>
        <v>701221.11</v>
      </c>
      <c r="O74" s="17">
        <f t="shared" si="29"/>
        <v>350610.55499999999</v>
      </c>
      <c r="P74" s="17">
        <f t="shared" si="29"/>
        <v>0</v>
      </c>
      <c r="Q74" s="17">
        <f t="shared" si="29"/>
        <v>0</v>
      </c>
      <c r="R74" s="17">
        <f t="shared" si="29"/>
        <v>0</v>
      </c>
      <c r="S74" s="17">
        <f t="shared" si="29"/>
        <v>0</v>
      </c>
      <c r="T74" s="17">
        <f t="shared" si="29"/>
        <v>0</v>
      </c>
      <c r="U74" s="17">
        <f t="shared" si="29"/>
        <v>0</v>
      </c>
      <c r="V74" s="17">
        <f t="shared" si="29"/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1">
        <f t="shared" si="21"/>
        <v>6185759.6459482657</v>
      </c>
    </row>
    <row r="75" spans="1:32" ht="15" customHeight="1" x14ac:dyDescent="0.25">
      <c r="A75" s="9" t="s">
        <v>58</v>
      </c>
      <c r="B75" s="11">
        <v>0</v>
      </c>
      <c r="C75" s="17">
        <f>IFERROR(C30*'Comparación Mensual'!G5/C45,0)</f>
        <v>0</v>
      </c>
      <c r="D75" s="17">
        <f>IFERROR(D30*'Comparación Mensual'!G6/D45,0)</f>
        <v>0</v>
      </c>
      <c r="E75" s="17">
        <f>IFERROR(E30*'Comparación Mensual'!G7/E45,0)</f>
        <v>109253.84379195004</v>
      </c>
      <c r="F75" s="17">
        <f>IFERROR(F30*'Comparación Mensual'!G8/F45,0)</f>
        <v>512018.86730373127</v>
      </c>
      <c r="G75" s="17">
        <f>IFERROR(G30*'Comparación Mensual'!G9/G45,0)</f>
        <v>265053.58185936412</v>
      </c>
      <c r="H75" s="17">
        <f>IFERROR(H30*'Comparación Mensual'!G10/H45,0)</f>
        <v>285485.64011492138</v>
      </c>
      <c r="I75" s="17">
        <f>IFERROR(I30*'Comparación Mensual'!G11/I45,0)</f>
        <v>263448.59765362501</v>
      </c>
      <c r="J75" s="17">
        <f>IFERROR(J30*'Comparación Mensual'!G12/J45,0)</f>
        <v>507710.26043040893</v>
      </c>
      <c r="K75" s="17">
        <f>K30*Reprogramación!$C$40/Reprogramación!$B$40</f>
        <v>1640193.8708911296</v>
      </c>
      <c r="L75" s="17">
        <f>L30*Reprogramación!$C$41/Reprogramación!$B$41</f>
        <v>1318485.0249348325</v>
      </c>
      <c r="M75" s="17">
        <f t="shared" ref="M75:V75" si="30">M30</f>
        <v>775404.36</v>
      </c>
      <c r="N75" s="17">
        <f t="shared" si="30"/>
        <v>775404.36</v>
      </c>
      <c r="O75" s="17">
        <f t="shared" si="30"/>
        <v>387702.18</v>
      </c>
      <c r="P75" s="17">
        <f t="shared" si="30"/>
        <v>0</v>
      </c>
      <c r="Q75" s="17">
        <f t="shared" si="30"/>
        <v>0</v>
      </c>
      <c r="R75" s="17">
        <f t="shared" si="30"/>
        <v>0</v>
      </c>
      <c r="S75" s="17">
        <f t="shared" si="30"/>
        <v>0</v>
      </c>
      <c r="T75" s="17">
        <f t="shared" si="30"/>
        <v>0</v>
      </c>
      <c r="U75" s="17">
        <f t="shared" si="30"/>
        <v>0</v>
      </c>
      <c r="V75" s="17">
        <f t="shared" si="30"/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1">
        <f t="shared" si="21"/>
        <v>6840160.5869799629</v>
      </c>
    </row>
    <row r="76" spans="1:32" ht="15" customHeight="1" x14ac:dyDescent="0.25">
      <c r="A76" s="9" t="s">
        <v>59</v>
      </c>
      <c r="B76" s="11">
        <v>0</v>
      </c>
      <c r="C76" s="17">
        <f>IFERROR(C31*'Comparación Mensual'!G5/C45,0)</f>
        <v>0</v>
      </c>
      <c r="D76" s="17">
        <f>IFERROR(D31*'Comparación Mensual'!G6/D45,0)</f>
        <v>0</v>
      </c>
      <c r="E76" s="17">
        <f>IFERROR(E31*'Comparación Mensual'!G7/E45,0)</f>
        <v>27889.10316680812</v>
      </c>
      <c r="F76" s="17">
        <f>IFERROR(F31*'Comparación Mensual'!G8/F45,0)</f>
        <v>130702.46792212309</v>
      </c>
      <c r="G76" s="17">
        <f>IFERROR(G31*'Comparación Mensual'!G9/G45,0)</f>
        <v>67659.923281824958</v>
      </c>
      <c r="H76" s="17">
        <f>IFERROR(H31*'Comparación Mensual'!G10/H45,0)</f>
        <v>72875.591315295591</v>
      </c>
      <c r="I76" s="17">
        <f>IFERROR(I31*'Comparación Mensual'!G11/I45,0)</f>
        <v>67250.220807830585</v>
      </c>
      <c r="J76" s="17">
        <f>IFERROR(J31*'Comparación Mensual'!G12/J45,0)</f>
        <v>129602.61479636826</v>
      </c>
      <c r="K76" s="17">
        <f>K31*Reprogramación!$C$40/Reprogramación!$B$40</f>
        <v>418690.40476010705</v>
      </c>
      <c r="L76" s="17">
        <f>L31*Reprogramación!$C$41/Reprogramación!$B$41</f>
        <v>336568.15731190302</v>
      </c>
      <c r="M76" s="17">
        <f t="shared" ref="M76:V76" si="31">M31</f>
        <v>197936.58</v>
      </c>
      <c r="N76" s="17">
        <f t="shared" si="31"/>
        <v>197936.58</v>
      </c>
      <c r="O76" s="17">
        <f t="shared" si="31"/>
        <v>98968.29</v>
      </c>
      <c r="P76" s="17">
        <f t="shared" si="31"/>
        <v>0</v>
      </c>
      <c r="Q76" s="17">
        <f t="shared" si="31"/>
        <v>0</v>
      </c>
      <c r="R76" s="17">
        <f t="shared" si="31"/>
        <v>0</v>
      </c>
      <c r="S76" s="17">
        <f t="shared" si="31"/>
        <v>0</v>
      </c>
      <c r="T76" s="17">
        <f t="shared" si="31"/>
        <v>0</v>
      </c>
      <c r="U76" s="17">
        <f t="shared" si="31"/>
        <v>0</v>
      </c>
      <c r="V76" s="17">
        <f t="shared" si="31"/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1">
        <f t="shared" si="21"/>
        <v>1746079.9333622609</v>
      </c>
    </row>
    <row r="77" spans="1:32" ht="15" customHeight="1" x14ac:dyDescent="0.25">
      <c r="A77" s="9" t="s">
        <v>60</v>
      </c>
      <c r="B77" s="11">
        <v>0</v>
      </c>
      <c r="C77" s="17">
        <f>IFERROR(C32*'Comparación Mensual'!G5/C45,0)</f>
        <v>0</v>
      </c>
      <c r="D77" s="17">
        <f>IFERROR(D32*'Comparación Mensual'!G6/D45,0)</f>
        <v>0</v>
      </c>
      <c r="E77" s="17">
        <f>IFERROR(E32*'Comparación Mensual'!G7/E45,0)</f>
        <v>0</v>
      </c>
      <c r="F77" s="17">
        <f>IFERROR(F32*'Comparación Mensual'!G8/F45,0)</f>
        <v>0</v>
      </c>
      <c r="G77" s="17">
        <f>IFERROR(G32*'Comparación Mensual'!G9/G45,0)</f>
        <v>1557833.4784196904</v>
      </c>
      <c r="H77" s="17">
        <f>IFERROR(H32*'Comparación Mensual'!G10/H45,0)</f>
        <v>1174545.0080752089</v>
      </c>
      <c r="I77" s="17">
        <f>IFERROR(I32*'Comparación Mensual'!G11/I45,0)</f>
        <v>903233.50745393732</v>
      </c>
      <c r="J77" s="17">
        <f>IFERROR(J32*'Comparación Mensual'!G12/J45,0)</f>
        <v>1492015.3794702019</v>
      </c>
      <c r="K77" s="17">
        <f>K32*Reprogramación!$C$40/Reprogramación!$B$40</f>
        <v>4820061.1084907576</v>
      </c>
      <c r="L77" s="17">
        <f>L32*Reprogramación!$C$41/Reprogramación!$B$41</f>
        <v>4520425.8599362271</v>
      </c>
      <c r="M77" s="17">
        <f t="shared" ref="M77:V77" si="32">M32</f>
        <v>2658473.8199999998</v>
      </c>
      <c r="N77" s="17">
        <f t="shared" si="32"/>
        <v>2658473.8199999998</v>
      </c>
      <c r="O77" s="17">
        <f t="shared" si="32"/>
        <v>1772315.88</v>
      </c>
      <c r="P77" s="17">
        <f t="shared" si="32"/>
        <v>0</v>
      </c>
      <c r="Q77" s="17">
        <f t="shared" si="32"/>
        <v>0</v>
      </c>
      <c r="R77" s="17">
        <f t="shared" si="32"/>
        <v>0</v>
      </c>
      <c r="S77" s="17">
        <f t="shared" si="32"/>
        <v>0</v>
      </c>
      <c r="T77" s="17">
        <f t="shared" si="32"/>
        <v>0</v>
      </c>
      <c r="U77" s="17">
        <f t="shared" si="32"/>
        <v>0</v>
      </c>
      <c r="V77" s="17">
        <f t="shared" si="32"/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1">
        <f t="shared" si="21"/>
        <v>21557377.861846022</v>
      </c>
    </row>
    <row r="78" spans="1:32" ht="15" customHeight="1" x14ac:dyDescent="0.25">
      <c r="A78" s="9" t="s">
        <v>61</v>
      </c>
      <c r="B78" s="11">
        <v>0</v>
      </c>
      <c r="C78" s="17">
        <f>IFERROR(C33*'Comparación Mensual'!G5/C45,0)</f>
        <v>0</v>
      </c>
      <c r="D78" s="17">
        <f>IFERROR(D33*'Comparación Mensual'!G6/D45,0)</f>
        <v>0</v>
      </c>
      <c r="E78" s="17">
        <f>IFERROR(E33*'Comparación Mensual'!G7/E45,0)</f>
        <v>62849.60128916063</v>
      </c>
      <c r="F78" s="17">
        <f>IFERROR(F33*'Comparación Mensual'!G8/F45,0)</f>
        <v>294545.07544693153</v>
      </c>
      <c r="G78" s="17">
        <f>IFERROR(G33*'Comparación Mensual'!G9/G45,0)</f>
        <v>152475.29388391541</v>
      </c>
      <c r="H78" s="17">
        <f>IFERROR(H33*'Comparación Mensual'!G10/H45,0)</f>
        <v>164229.08368488585</v>
      </c>
      <c r="I78" s="17">
        <f>IFERROR(I33*'Comparación Mensual'!G11/I45,0)</f>
        <v>151552.00721586728</v>
      </c>
      <c r="J78" s="17">
        <f>IFERROR(J33*'Comparación Mensual'!G12/J45,0)</f>
        <v>292066.49698505382</v>
      </c>
      <c r="K78" s="17">
        <f>K33*Reprogramación!$C$40/Reprogramación!$B$40</f>
        <v>943541.45579295408</v>
      </c>
      <c r="L78" s="17">
        <f>L33*Reprogramación!$C$41/Reprogramación!$B$41</f>
        <v>758474.53276503435</v>
      </c>
      <c r="M78" s="17">
        <f t="shared" ref="M78:V78" si="33">M33</f>
        <v>446060.78076923097</v>
      </c>
      <c r="N78" s="17">
        <f t="shared" si="33"/>
        <v>446060.78076923097</v>
      </c>
      <c r="O78" s="17">
        <f t="shared" si="33"/>
        <v>223030.39038461499</v>
      </c>
      <c r="P78" s="17">
        <f t="shared" si="33"/>
        <v>0</v>
      </c>
      <c r="Q78" s="17">
        <f t="shared" si="33"/>
        <v>0</v>
      </c>
      <c r="R78" s="17">
        <f t="shared" si="33"/>
        <v>0</v>
      </c>
      <c r="S78" s="17">
        <f t="shared" si="33"/>
        <v>0</v>
      </c>
      <c r="T78" s="17">
        <f t="shared" si="33"/>
        <v>0</v>
      </c>
      <c r="U78" s="17">
        <f t="shared" si="33"/>
        <v>0</v>
      </c>
      <c r="V78" s="17">
        <f t="shared" si="33"/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1">
        <f t="shared" si="21"/>
        <v>3934885.4989868798</v>
      </c>
    </row>
    <row r="79" spans="1:32" ht="15" customHeight="1" x14ac:dyDescent="0.25">
      <c r="A79" s="9" t="s">
        <v>62</v>
      </c>
      <c r="B79" s="11">
        <v>0</v>
      </c>
      <c r="C79" s="17">
        <f>IFERROR(C34*'Comparación Mensual'!G5/C45,0)</f>
        <v>0</v>
      </c>
      <c r="D79" s="17">
        <f>IFERROR(D34*'Comparación Mensual'!G6/D45,0)</f>
        <v>0</v>
      </c>
      <c r="E79" s="17">
        <f>IFERROR(E34*'Comparación Mensual'!G7/E45,0)</f>
        <v>0</v>
      </c>
      <c r="F79" s="17">
        <f>IFERROR(F34*'Comparación Mensual'!G8/F45,0)</f>
        <v>0</v>
      </c>
      <c r="G79" s="17">
        <f>IFERROR(G34*'Comparación Mensual'!G9/G45,0)</f>
        <v>2439844.5388745004</v>
      </c>
      <c r="H79" s="17">
        <f>IFERROR(H34*'Comparación Mensual'!G10/H45,0)</f>
        <v>1839546.5647083519</v>
      </c>
      <c r="I79" s="17">
        <f>IFERROR(I34*'Comparación Mensual'!G11/I45,0)</f>
        <v>1414624.4582736106</v>
      </c>
      <c r="J79" s="17">
        <f>IFERROR(J34*'Comparación Mensual'!G12/J45,0)</f>
        <v>2336761.6795666399</v>
      </c>
      <c r="K79" s="17">
        <f>K34*Reprogramación!$C$40/Reprogramación!$B$40</f>
        <v>7549073.7203326887</v>
      </c>
      <c r="L79" s="17">
        <f>L34*Reprogramación!$C$41/Reprogramación!$B$41</f>
        <v>7079791.5826926073</v>
      </c>
      <c r="M79" s="17">
        <f t="shared" ref="M79:V79" si="34">M34</f>
        <v>4163643.24</v>
      </c>
      <c r="N79" s="17">
        <f t="shared" si="34"/>
        <v>4163643.24</v>
      </c>
      <c r="O79" s="17">
        <f t="shared" si="34"/>
        <v>2775762.16</v>
      </c>
      <c r="P79" s="17">
        <f t="shared" si="34"/>
        <v>0</v>
      </c>
      <c r="Q79" s="17">
        <f t="shared" si="34"/>
        <v>0</v>
      </c>
      <c r="R79" s="17">
        <f t="shared" si="34"/>
        <v>0</v>
      </c>
      <c r="S79" s="17">
        <f t="shared" si="34"/>
        <v>0</v>
      </c>
      <c r="T79" s="17">
        <f t="shared" si="34"/>
        <v>0</v>
      </c>
      <c r="U79" s="17">
        <f t="shared" si="34"/>
        <v>0</v>
      </c>
      <c r="V79" s="17">
        <f t="shared" si="34"/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1">
        <f t="shared" si="21"/>
        <v>33762691.184448406</v>
      </c>
    </row>
    <row r="80" spans="1:32" ht="15" customHeight="1" x14ac:dyDescent="0.25">
      <c r="A80" s="9" t="s">
        <v>63</v>
      </c>
      <c r="B80" s="11">
        <v>0</v>
      </c>
      <c r="C80" s="17">
        <f>IFERROR(C35*'Comparación Mensual'!G5/C45,0)</f>
        <v>0</v>
      </c>
      <c r="D80" s="17">
        <f>IFERROR(D35*'Comparación Mensual'!G6/D45,0)</f>
        <v>0</v>
      </c>
      <c r="E80" s="17">
        <f>IFERROR(E35*'Comparación Mensual'!G7/E45,0)</f>
        <v>0</v>
      </c>
      <c r="F80" s="17">
        <f>IFERROR(F35*'Comparación Mensual'!G8/F45,0)</f>
        <v>2593319.3410875779</v>
      </c>
      <c r="G80" s="17">
        <f>IFERROR(G35*'Comparación Mensual'!G9/G45,0)</f>
        <v>2301372.4939364474</v>
      </c>
      <c r="H80" s="17">
        <f>IFERROR(H35*'Comparación Mensual'!G10/H45,0)</f>
        <v>1735144.1036025963</v>
      </c>
      <c r="I80" s="17">
        <f>IFERROR(I35*'Comparación Mensual'!G11/I45,0)</f>
        <v>4892573.4709920837</v>
      </c>
      <c r="J80" s="17">
        <f>IFERROR(J35*'Comparación Mensual'!G12/J45,0)</f>
        <v>2204140.0460375887</v>
      </c>
      <c r="K80" s="17">
        <f>K35*Reprogramación!$C$40/Reprogramación!$B$40</f>
        <v>7120630.1622341899</v>
      </c>
      <c r="L80" s="17">
        <f>L35*Reprogramación!$C$41/Reprogramación!$B$41</f>
        <v>17807951.669715919</v>
      </c>
      <c r="M80" s="17">
        <f t="shared" ref="M80:V80" si="35">M35</f>
        <v>3927337.94076923</v>
      </c>
      <c r="N80" s="17">
        <f t="shared" si="35"/>
        <v>3927337.94076923</v>
      </c>
      <c r="O80" s="17">
        <f t="shared" si="35"/>
        <v>3927337.94076923</v>
      </c>
      <c r="P80" s="17">
        <f t="shared" si="35"/>
        <v>2618225.2938461499</v>
      </c>
      <c r="Q80" s="17">
        <f t="shared" si="35"/>
        <v>7200119.55807692</v>
      </c>
      <c r="R80" s="17">
        <f t="shared" si="35"/>
        <v>4581894.2642307701</v>
      </c>
      <c r="S80" s="17">
        <f t="shared" si="35"/>
        <v>0</v>
      </c>
      <c r="T80" s="17">
        <f t="shared" si="35"/>
        <v>0</v>
      </c>
      <c r="U80" s="17">
        <f t="shared" si="35"/>
        <v>0</v>
      </c>
      <c r="V80" s="17">
        <f t="shared" si="35"/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1">
        <f t="shared" si="21"/>
        <v>64837384.226067945</v>
      </c>
    </row>
    <row r="81" spans="1:32" ht="15" customHeight="1" x14ac:dyDescent="0.25">
      <c r="A81" s="9" t="s">
        <v>64</v>
      </c>
      <c r="B81" s="11">
        <v>0</v>
      </c>
      <c r="C81" s="17">
        <f>IFERROR(C36*'Comparación Mensual'!G5/C45,0)</f>
        <v>0</v>
      </c>
      <c r="D81" s="17">
        <f>IFERROR(D36*'Comparación Mensual'!G6/D45,0)</f>
        <v>0</v>
      </c>
      <c r="E81" s="17">
        <f>IFERROR(E36*'Comparación Mensual'!G7/E45,0)</f>
        <v>0</v>
      </c>
      <c r="F81" s="17">
        <f>IFERROR(F36*'Comparación Mensual'!G8/F45,0)</f>
        <v>0</v>
      </c>
      <c r="G81" s="17">
        <f>IFERROR(G36*'Comparación Mensual'!G9/G45,0)</f>
        <v>0</v>
      </c>
      <c r="H81" s="17">
        <f>IFERROR(H36*'Comparación Mensual'!G10/H45,0)</f>
        <v>0</v>
      </c>
      <c r="I81" s="17">
        <f>IFERROR(I36*'Comparación Mensual'!G11/I45,0)</f>
        <v>4106053.6061708489</v>
      </c>
      <c r="J81" s="17">
        <f>IFERROR(J36*'Comparación Mensual'!G12/J45,0)</f>
        <v>0</v>
      </c>
      <c r="K81" s="17">
        <f>K36*Reprogramación!$C$40/Reprogramación!$B$40</f>
        <v>0</v>
      </c>
      <c r="L81" s="17">
        <f>L36*Reprogramación!$C$41/Reprogramación!$B$41</f>
        <v>20549626.14921112</v>
      </c>
      <c r="M81" s="17">
        <f t="shared" ref="M81:V81" si="36">M36</f>
        <v>0</v>
      </c>
      <c r="N81" s="17">
        <f t="shared" si="36"/>
        <v>0</v>
      </c>
      <c r="O81" s="17">
        <f t="shared" si="36"/>
        <v>12085286.8338462</v>
      </c>
      <c r="P81" s="17">
        <f t="shared" si="36"/>
        <v>0</v>
      </c>
      <c r="Q81" s="17">
        <f t="shared" si="36"/>
        <v>12085286.8338462</v>
      </c>
      <c r="R81" s="17">
        <f t="shared" si="36"/>
        <v>0</v>
      </c>
      <c r="S81" s="17">
        <f t="shared" si="36"/>
        <v>4028428.9446153799</v>
      </c>
      <c r="T81" s="17">
        <f t="shared" si="36"/>
        <v>0</v>
      </c>
      <c r="U81" s="17">
        <f t="shared" si="36"/>
        <v>0</v>
      </c>
      <c r="V81" s="17">
        <f t="shared" si="36"/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1">
        <f t="shared" si="21"/>
        <v>52854682.367689744</v>
      </c>
    </row>
    <row r="82" spans="1:32" ht="15" customHeight="1" x14ac:dyDescent="0.25">
      <c r="A82" s="9" t="s">
        <v>65</v>
      </c>
      <c r="B82" s="11">
        <v>0</v>
      </c>
      <c r="C82" s="17">
        <f>IFERROR(C37*'Comparación Mensual'!G5/C45,0)</f>
        <v>0</v>
      </c>
      <c r="D82" s="17">
        <f>IFERROR(D37*'Comparación Mensual'!G6/D45,0)</f>
        <v>0</v>
      </c>
      <c r="E82" s="17">
        <f>IFERROR(E37*'Comparación Mensual'!G7/E45,0)</f>
        <v>0</v>
      </c>
      <c r="F82" s="17">
        <f>IFERROR(F37*'Comparación Mensual'!G8/F45,0)</f>
        <v>0</v>
      </c>
      <c r="G82" s="17">
        <f>IFERROR(G37*'Comparación Mensual'!G9/G45,0)</f>
        <v>0</v>
      </c>
      <c r="H82" s="17">
        <f>IFERROR(H37*'Comparación Mensual'!G10/H45,0)</f>
        <v>1347188.998859778</v>
      </c>
      <c r="I82" s="17">
        <f>IFERROR(I37*'Comparación Mensual'!G11/I45,0)</f>
        <v>2071995.9410283566</v>
      </c>
      <c r="J82" s="17">
        <f>IFERROR(J37*'Comparación Mensual'!G12/J45,0)</f>
        <v>0</v>
      </c>
      <c r="K82" s="17">
        <f>K37*Reprogramación!$C$40/Reprogramación!$B$40</f>
        <v>11057104.248106975</v>
      </c>
      <c r="L82" s="17">
        <f>L37*Reprogramación!$C$41/Reprogramación!$B$41</f>
        <v>0</v>
      </c>
      <c r="M82" s="17">
        <f t="shared" ref="M82:V82" si="37">M37</f>
        <v>0</v>
      </c>
      <c r="N82" s="17">
        <f t="shared" si="37"/>
        <v>6098475</v>
      </c>
      <c r="O82" s="17">
        <f t="shared" si="37"/>
        <v>0</v>
      </c>
      <c r="P82" s="17">
        <f t="shared" si="37"/>
        <v>3049237.5</v>
      </c>
      <c r="Q82" s="17">
        <f t="shared" si="37"/>
        <v>2032825</v>
      </c>
      <c r="R82" s="17">
        <f t="shared" si="37"/>
        <v>0</v>
      </c>
      <c r="S82" s="17">
        <f t="shared" si="37"/>
        <v>0</v>
      </c>
      <c r="T82" s="17">
        <f t="shared" si="37"/>
        <v>0</v>
      </c>
      <c r="U82" s="17">
        <f t="shared" si="37"/>
        <v>0</v>
      </c>
      <c r="V82" s="17">
        <f t="shared" si="37"/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1">
        <f t="shared" si="21"/>
        <v>25656826.68799511</v>
      </c>
    </row>
    <row r="83" spans="1:32" ht="15" customHeight="1" x14ac:dyDescent="0.25">
      <c r="A83" s="9" t="s">
        <v>66</v>
      </c>
      <c r="B83" s="11">
        <v>0</v>
      </c>
      <c r="C83" s="17">
        <f>IFERROR(C38*'Comparación Mensual'!G5/C45,0)</f>
        <v>0</v>
      </c>
      <c r="D83" s="17">
        <f>IFERROR(D38*'Comparación Mensual'!G6/D45,0)</f>
        <v>0</v>
      </c>
      <c r="E83" s="17">
        <f>IFERROR(E38*'Comparación Mensual'!G7/E45,0)</f>
        <v>0</v>
      </c>
      <c r="F83" s="17">
        <f>IFERROR(F38*'Comparación Mensual'!G8/F45,0)</f>
        <v>0</v>
      </c>
      <c r="G83" s="17">
        <f>IFERROR(G38*'Comparación Mensual'!G9/G45,0)</f>
        <v>0</v>
      </c>
      <c r="H83" s="17">
        <f>IFERROR(H38*'Comparación Mensual'!G10/H45,0)</f>
        <v>0</v>
      </c>
      <c r="I83" s="17">
        <f>IFERROR(I38*'Comparación Mensual'!G11/I45,0)</f>
        <v>0</v>
      </c>
      <c r="J83" s="17">
        <f>IFERROR(J38*'Comparación Mensual'!G12/J45,0)</f>
        <v>0</v>
      </c>
      <c r="K83" s="17">
        <f>K38*Reprogramación!$C$40/Reprogramación!$B$40</f>
        <v>2298707.7307525915</v>
      </c>
      <c r="L83" s="17">
        <f>L38*Reprogramación!$C$41/Reprogramación!$B$41</f>
        <v>3233715.6013099728</v>
      </c>
      <c r="M83" s="17">
        <f t="shared" ref="M83:V83" si="38">M38</f>
        <v>1901756.28</v>
      </c>
      <c r="N83" s="17">
        <f t="shared" si="38"/>
        <v>1901756.28</v>
      </c>
      <c r="O83" s="17">
        <f t="shared" si="38"/>
        <v>1901756.28</v>
      </c>
      <c r="P83" s="17">
        <f t="shared" si="38"/>
        <v>950878.14</v>
      </c>
      <c r="Q83" s="17">
        <f t="shared" si="38"/>
        <v>1901756.28</v>
      </c>
      <c r="R83" s="17">
        <f t="shared" si="38"/>
        <v>1901756.28</v>
      </c>
      <c r="S83" s="17">
        <f t="shared" si="38"/>
        <v>1901756.28</v>
      </c>
      <c r="T83" s="17">
        <f t="shared" si="38"/>
        <v>950878.14</v>
      </c>
      <c r="U83" s="17">
        <f t="shared" si="38"/>
        <v>0</v>
      </c>
      <c r="V83" s="17">
        <f t="shared" si="38"/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1">
        <f t="shared" si="21"/>
        <v>18844717.292062566</v>
      </c>
    </row>
    <row r="84" spans="1:32" ht="15" customHeight="1" x14ac:dyDescent="0.25">
      <c r="A84" s="9" t="s">
        <v>67</v>
      </c>
      <c r="B84" s="11">
        <v>0</v>
      </c>
      <c r="C84" s="17">
        <f>IFERROR(C39*'Comparación Mensual'!G5/C45,0)</f>
        <v>0</v>
      </c>
      <c r="D84" s="17">
        <f>IFERROR(D39*'Comparación Mensual'!G6/D45,0)</f>
        <v>0</v>
      </c>
      <c r="E84" s="17">
        <f>IFERROR(E39*'Comparación Mensual'!G7/E45,0)</f>
        <v>0</v>
      </c>
      <c r="F84" s="17">
        <f>IFERROR(F39*'Comparación Mensual'!G8/F45,0)</f>
        <v>0</v>
      </c>
      <c r="G84" s="17">
        <f>IFERROR(G39*'Comparación Mensual'!G9/G45,0)</f>
        <v>0</v>
      </c>
      <c r="H84" s="17">
        <f>IFERROR(H39*'Comparación Mensual'!G10/H45,0)</f>
        <v>0</v>
      </c>
      <c r="I84" s="17">
        <f>IFERROR(I39*'Comparación Mensual'!G11/I45,0)</f>
        <v>0</v>
      </c>
      <c r="J84" s="17">
        <f>IFERROR(J39*'Comparación Mensual'!G12/J45,0)</f>
        <v>0</v>
      </c>
      <c r="K84" s="17">
        <f>K39*Reprogramación!$C$40/Reprogramación!$B$40</f>
        <v>2893774.1446070191</v>
      </c>
      <c r="L84" s="17">
        <f>L39*Reprogramación!$C$41/Reprogramación!$B$41</f>
        <v>4070827.4796724371</v>
      </c>
      <c r="M84" s="17">
        <f t="shared" ref="M84:V84" si="39">M39</f>
        <v>2394063.88153846</v>
      </c>
      <c r="N84" s="17">
        <f t="shared" si="39"/>
        <v>2394063.88153846</v>
      </c>
      <c r="O84" s="17">
        <f t="shared" si="39"/>
        <v>2394063.88153846</v>
      </c>
      <c r="P84" s="17">
        <f t="shared" si="39"/>
        <v>1197031.94076923</v>
      </c>
      <c r="Q84" s="17">
        <f t="shared" si="39"/>
        <v>2394063.88153846</v>
      </c>
      <c r="R84" s="17">
        <f t="shared" si="39"/>
        <v>2394063.88153846</v>
      </c>
      <c r="S84" s="17">
        <f t="shared" si="39"/>
        <v>2394063.88153846</v>
      </c>
      <c r="T84" s="17">
        <f t="shared" si="39"/>
        <v>1197031.94076923</v>
      </c>
      <c r="U84" s="17">
        <f t="shared" si="39"/>
        <v>0</v>
      </c>
      <c r="V84" s="17">
        <f t="shared" si="39"/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1">
        <f t="shared" si="21"/>
        <v>23723048.795048673</v>
      </c>
    </row>
    <row r="85" spans="1:32" ht="15" customHeight="1" x14ac:dyDescent="0.25">
      <c r="A85" s="9" t="s">
        <v>68</v>
      </c>
      <c r="B85" s="11">
        <v>0</v>
      </c>
      <c r="C85" s="17">
        <f>IFERROR(C40*'Comparación Mensual'!G5/C45,0)</f>
        <v>0</v>
      </c>
      <c r="D85" s="17">
        <f>IFERROR(D40*'Comparación Mensual'!G6/D45,0)</f>
        <v>0</v>
      </c>
      <c r="E85" s="17">
        <f>IFERROR(E40*'Comparación Mensual'!G7/E45,0)</f>
        <v>0</v>
      </c>
      <c r="F85" s="17">
        <f>IFERROR(F40*'Comparación Mensual'!G8/F45,0)</f>
        <v>0</v>
      </c>
      <c r="G85" s="17">
        <f>IFERROR(G40*'Comparación Mensual'!G9/G45,0)</f>
        <v>0</v>
      </c>
      <c r="H85" s="17">
        <f>IFERROR(H40*'Comparación Mensual'!G10/H45,0)</f>
        <v>0</v>
      </c>
      <c r="I85" s="17">
        <f>IFERROR(I40*'Comparación Mensual'!G11/I45,0)</f>
        <v>340346.52434557315</v>
      </c>
      <c r="J85" s="17">
        <f>IFERROR(J40*'Comparación Mensual'!G12/J45,0)</f>
        <v>562204.83903905808</v>
      </c>
      <c r="K85" s="17">
        <f>K40*Reprogramación!$C$40/Reprogramación!$B$40</f>
        <v>3632484.9152958635</v>
      </c>
      <c r="L85" s="17">
        <f>L40*Reprogramación!$C$41/Reprogramación!$B$41</f>
        <v>3406674.3921578978</v>
      </c>
      <c r="M85" s="17">
        <f t="shared" ref="M85:V85" si="40">M40</f>
        <v>3005210.67</v>
      </c>
      <c r="N85" s="17">
        <f t="shared" si="40"/>
        <v>3005210.67</v>
      </c>
      <c r="O85" s="17">
        <f t="shared" si="40"/>
        <v>2003473.78</v>
      </c>
      <c r="P85" s="17">
        <f t="shared" si="40"/>
        <v>2003473.78</v>
      </c>
      <c r="Q85" s="17">
        <f t="shared" si="40"/>
        <v>2003473.78</v>
      </c>
      <c r="R85" s="17">
        <f t="shared" si="40"/>
        <v>3005210.67</v>
      </c>
      <c r="S85" s="17">
        <f t="shared" si="40"/>
        <v>3005210.67</v>
      </c>
      <c r="T85" s="17">
        <f t="shared" si="40"/>
        <v>2003473.78</v>
      </c>
      <c r="U85" s="17">
        <f t="shared" si="40"/>
        <v>0</v>
      </c>
      <c r="V85" s="17">
        <f t="shared" si="40"/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1">
        <f t="shared" si="21"/>
        <v>27976448.470838398</v>
      </c>
    </row>
    <row r="86" spans="1:32" ht="15" customHeight="1" x14ac:dyDescent="0.25">
      <c r="A86" s="9" t="s">
        <v>69</v>
      </c>
      <c r="B86" s="11">
        <v>0</v>
      </c>
      <c r="C86" s="17">
        <f>IFERROR(C41*'Comparación Mensual'!G5/C45,0)</f>
        <v>0</v>
      </c>
      <c r="D86" s="17">
        <f>IFERROR(D41*'Comparación Mensual'!G6/D45,0)</f>
        <v>0</v>
      </c>
      <c r="E86" s="17">
        <f>IFERROR(E41*'Comparación Mensual'!G7/E45,0)</f>
        <v>0</v>
      </c>
      <c r="F86" s="17">
        <f>IFERROR(F41*'Comparación Mensual'!G8/F45,0)</f>
        <v>0</v>
      </c>
      <c r="G86" s="17">
        <f>IFERROR(G41*'Comparación Mensual'!G9/G45,0)</f>
        <v>0</v>
      </c>
      <c r="H86" s="17">
        <f>IFERROR(H41*'Comparación Mensual'!G10/H45,0)</f>
        <v>0</v>
      </c>
      <c r="I86" s="17">
        <f>IFERROR(I41*'Comparación Mensual'!G11/I45,0)</f>
        <v>170144.77189945846</v>
      </c>
      <c r="J86" s="17">
        <f>IFERROR(J41*'Comparación Mensual'!G12/J45,0)</f>
        <v>281055.35757417371</v>
      </c>
      <c r="K86" s="17">
        <f>K41*Reprogramación!$C$40/Reprogramación!$B$40</f>
        <v>1815938.3837682405</v>
      </c>
      <c r="L86" s="17">
        <f>L41*Reprogramación!$C$41/Reprogramación!$B$41</f>
        <v>1703052.024709095</v>
      </c>
      <c r="M86" s="17">
        <f t="shared" ref="M86:V86" si="41">M41</f>
        <v>1502353.77</v>
      </c>
      <c r="N86" s="17">
        <f t="shared" si="41"/>
        <v>1502353.77</v>
      </c>
      <c r="O86" s="17">
        <f t="shared" si="41"/>
        <v>1001569.18</v>
      </c>
      <c r="P86" s="17">
        <f t="shared" si="41"/>
        <v>1001569.18</v>
      </c>
      <c r="Q86" s="17">
        <f t="shared" si="41"/>
        <v>1001569.18</v>
      </c>
      <c r="R86" s="17">
        <f t="shared" si="41"/>
        <v>1502353.77</v>
      </c>
      <c r="S86" s="17">
        <f t="shared" si="41"/>
        <v>1502353.77</v>
      </c>
      <c r="T86" s="17">
        <f t="shared" si="41"/>
        <v>1001569.18</v>
      </c>
      <c r="U86" s="17">
        <f t="shared" si="41"/>
        <v>0</v>
      </c>
      <c r="V86" s="17">
        <f t="shared" si="41"/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1">
        <f t="shared" si="21"/>
        <v>13985882.337950965</v>
      </c>
    </row>
    <row r="87" spans="1:32" ht="15" customHeight="1" x14ac:dyDescent="0.25">
      <c r="A87" s="9" t="s">
        <v>70</v>
      </c>
      <c r="B87" s="11">
        <v>0</v>
      </c>
      <c r="C87" s="17">
        <f>IFERROR(C42*'Comparación Mensual'!G5/C45,0)</f>
        <v>0</v>
      </c>
      <c r="D87" s="17">
        <f>IFERROR(D42*'Comparación Mensual'!G6/D45,0)</f>
        <v>0</v>
      </c>
      <c r="E87" s="17">
        <f>IFERROR(E42*'Comparación Mensual'!G7/E45,0)</f>
        <v>0</v>
      </c>
      <c r="F87" s="17">
        <f>IFERROR(F42*'Comparación Mensual'!G8/F45,0)</f>
        <v>0</v>
      </c>
      <c r="G87" s="17">
        <f>IFERROR(G42*'Comparación Mensual'!G9/G45,0)</f>
        <v>279515.54629917606</v>
      </c>
      <c r="H87" s="17">
        <f>IFERROR(H42*'Comparación Mensual'!G10/H45,0)</f>
        <v>316115.54841999459</v>
      </c>
      <c r="I87" s="17">
        <f>IFERROR(I42*'Comparación Mensual'!G11/I45,0)</f>
        <v>243095.11648942594</v>
      </c>
      <c r="J87" s="17">
        <f>IFERROR(J42*'Comparación Mensual'!G12/J45,0)</f>
        <v>401559.12007595738</v>
      </c>
      <c r="K87" s="17">
        <f>K42*Reprogramación!$C$40/Reprogramación!$B$40</f>
        <v>1297265.1113859038</v>
      </c>
      <c r="L87" s="17">
        <f>L42*Reprogramación!$C$41/Reprogramación!$B$41</f>
        <v>1216621.661989274</v>
      </c>
      <c r="M87" s="17">
        <f t="shared" ref="M87:V87" si="42">M42</f>
        <v>715498.26</v>
      </c>
      <c r="N87" s="17">
        <f t="shared" si="42"/>
        <v>715498.26</v>
      </c>
      <c r="O87" s="17">
        <f t="shared" si="42"/>
        <v>715498.26</v>
      </c>
      <c r="P87" s="17">
        <f t="shared" si="42"/>
        <v>0</v>
      </c>
      <c r="Q87" s="17">
        <f t="shared" si="42"/>
        <v>0</v>
      </c>
      <c r="R87" s="17">
        <f t="shared" si="42"/>
        <v>0</v>
      </c>
      <c r="S87" s="17">
        <f t="shared" si="42"/>
        <v>0</v>
      </c>
      <c r="T87" s="17">
        <f t="shared" si="42"/>
        <v>0</v>
      </c>
      <c r="U87" s="17">
        <f t="shared" si="42"/>
        <v>0</v>
      </c>
      <c r="V87" s="17">
        <f t="shared" si="42"/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1">
        <f t="shared" si="21"/>
        <v>5900666.8846597318</v>
      </c>
    </row>
    <row r="88" spans="1:32" ht="15" customHeight="1" x14ac:dyDescent="0.25">
      <c r="A88" s="9" t="s">
        <v>71</v>
      </c>
      <c r="B88" s="11">
        <v>0</v>
      </c>
      <c r="C88" s="17">
        <f>IFERROR(C43*'Comparación Mensual'!G5/C45,0)</f>
        <v>0</v>
      </c>
      <c r="D88" s="17">
        <f>IFERROR(D43*'Comparación Mensual'!G6/D45,0)</f>
        <v>0</v>
      </c>
      <c r="E88" s="17">
        <f>IFERROR(E43*'Comparación Mensual'!G7/E45,0)</f>
        <v>0</v>
      </c>
      <c r="F88" s="17">
        <f>IFERROR(F43*'Comparación Mensual'!G8/F45,0)</f>
        <v>0</v>
      </c>
      <c r="G88" s="17">
        <f>IFERROR(G43*'Comparación Mensual'!G9/G45,0)</f>
        <v>2104883.7320657265</v>
      </c>
      <c r="H88" s="17">
        <f>IFERROR(H43*'Comparación Mensual'!G10/H45,0)</f>
        <v>2380498.988811498</v>
      </c>
      <c r="I88" s="17">
        <f>IFERROR(I43*'Comparación Mensual'!G11/I45,0)</f>
        <v>1830620.7394115301</v>
      </c>
      <c r="J88" s="17">
        <f>IFERROR(J43*'Comparación Mensual'!G12/J45,0)</f>
        <v>3023929.3323807586</v>
      </c>
      <c r="K88" s="17">
        <f>K43*Reprogramación!$C$40/Reprogramación!$B$40</f>
        <v>9769017.3776952121</v>
      </c>
      <c r="L88" s="17">
        <f>L43*Reprogramación!$C$41/Reprogramación!$B$41</f>
        <v>9161734.2158815693</v>
      </c>
      <c r="M88" s="17">
        <f t="shared" ref="M88:V88" si="43">M43</f>
        <v>5388038.9400000004</v>
      </c>
      <c r="N88" s="17">
        <f t="shared" si="43"/>
        <v>5388038.9400000004</v>
      </c>
      <c r="O88" s="17">
        <f t="shared" si="43"/>
        <v>1796012.98</v>
      </c>
      <c r="P88" s="17">
        <f t="shared" si="43"/>
        <v>3592025.96</v>
      </c>
      <c r="Q88" s="17">
        <f t="shared" si="43"/>
        <v>0</v>
      </c>
      <c r="R88" s="17">
        <f t="shared" si="43"/>
        <v>0</v>
      </c>
      <c r="S88" s="17">
        <f t="shared" si="43"/>
        <v>0</v>
      </c>
      <c r="T88" s="17">
        <f t="shared" si="43"/>
        <v>0</v>
      </c>
      <c r="U88" s="17">
        <f t="shared" si="43"/>
        <v>0</v>
      </c>
      <c r="V88" s="17">
        <f t="shared" si="43"/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1">
        <f t="shared" si="21"/>
        <v>44434801.206246287</v>
      </c>
    </row>
    <row r="89" spans="1:32" ht="15" customHeight="1" x14ac:dyDescent="0.25">
      <c r="A89" s="9" t="s">
        <v>72</v>
      </c>
      <c r="B89" s="11">
        <v>0</v>
      </c>
      <c r="C89" s="17">
        <f>IFERROR(C44*'Comparación Mensual'!G5/C45,0)</f>
        <v>0</v>
      </c>
      <c r="D89" s="17">
        <f>IFERROR(D44*'Comparación Mensual'!G6/D45,0)</f>
        <v>0</v>
      </c>
      <c r="E89" s="17">
        <f>IFERROR(E44*'Comparación Mensual'!G7/E45,0)</f>
        <v>0</v>
      </c>
      <c r="F89" s="17">
        <f>IFERROR(F44*'Comparación Mensual'!G8/F45,0)</f>
        <v>0</v>
      </c>
      <c r="G89" s="17">
        <f>IFERROR(G44*'Comparación Mensual'!G9/G45,0)</f>
        <v>0</v>
      </c>
      <c r="H89" s="17">
        <f>IFERROR(H44*'Comparación Mensual'!G10/H45,0)</f>
        <v>0</v>
      </c>
      <c r="I89" s="17">
        <f>IFERROR(I44*'Comparación Mensual'!G11/I45,0)</f>
        <v>0</v>
      </c>
      <c r="J89" s="17">
        <f>IFERROR(J44*'Comparación Mensual'!G12/J45,0)</f>
        <v>0</v>
      </c>
      <c r="K89" s="17">
        <f>K44*Reprogramación!$C$40/Reprogramación!$B$40</f>
        <v>0</v>
      </c>
      <c r="L89" s="17">
        <f>L44*Reprogramación!$C$41/Reprogramación!$B$41</f>
        <v>591702.17903309374</v>
      </c>
      <c r="M89" s="17">
        <f t="shared" ref="M89:V89" si="44">M44</f>
        <v>521972.31</v>
      </c>
      <c r="N89" s="17">
        <f t="shared" si="44"/>
        <v>521972.31</v>
      </c>
      <c r="O89" s="17">
        <f t="shared" si="44"/>
        <v>521972.31</v>
      </c>
      <c r="P89" s="17">
        <f t="shared" si="44"/>
        <v>521972.31</v>
      </c>
      <c r="Q89" s="17">
        <f t="shared" si="44"/>
        <v>521972.31</v>
      </c>
      <c r="R89" s="17">
        <f t="shared" si="44"/>
        <v>521972.31</v>
      </c>
      <c r="S89" s="17">
        <f t="shared" si="44"/>
        <v>521972.31</v>
      </c>
      <c r="T89" s="17">
        <f t="shared" si="44"/>
        <v>260986.155</v>
      </c>
      <c r="U89" s="17">
        <f t="shared" si="44"/>
        <v>260986.155</v>
      </c>
      <c r="V89" s="17">
        <f t="shared" si="44"/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1">
        <f t="shared" si="21"/>
        <v>4767480.6590330945</v>
      </c>
    </row>
    <row r="90" spans="1:32" ht="15" customHeight="1" x14ac:dyDescent="0.25">
      <c r="A90" s="12" t="s">
        <v>73</v>
      </c>
      <c r="B90" s="14">
        <v>0</v>
      </c>
      <c r="C90" s="14">
        <f t="shared" ref="C90:AE90" si="45">SUM(C66:C89)</f>
        <v>991237.18</v>
      </c>
      <c r="D90" s="14">
        <f t="shared" si="45"/>
        <v>2132656.4500000002</v>
      </c>
      <c r="E90" s="14">
        <f t="shared" si="45"/>
        <v>6421897.4300000006</v>
      </c>
      <c r="F90" s="14">
        <f t="shared" si="45"/>
        <v>23623623.719999999</v>
      </c>
      <c r="G90" s="14">
        <f t="shared" si="45"/>
        <v>17452541.749999996</v>
      </c>
      <c r="H90" s="14">
        <f t="shared" si="45"/>
        <v>17043612.300000001</v>
      </c>
      <c r="I90" s="14">
        <f t="shared" si="45"/>
        <v>23333676.709999993</v>
      </c>
      <c r="J90" s="14">
        <f t="shared" si="45"/>
        <v>23610038.159999989</v>
      </c>
      <c r="K90" s="14">
        <f t="shared" si="45"/>
        <v>92533405.804211557</v>
      </c>
      <c r="L90" s="14">
        <f t="shared" si="45"/>
        <v>100746424.32544236</v>
      </c>
      <c r="M90" s="14">
        <f t="shared" si="45"/>
        <v>42294887.769230776</v>
      </c>
      <c r="N90" s="14">
        <f t="shared" si="45"/>
        <v>48393362.769230768</v>
      </c>
      <c r="O90" s="14">
        <f t="shared" si="45"/>
        <v>39868292.161115423</v>
      </c>
      <c r="P90" s="14">
        <f t="shared" si="45"/>
        <v>14934414.104615381</v>
      </c>
      <c r="Q90" s="14">
        <f t="shared" si="45"/>
        <v>29141066.823461581</v>
      </c>
      <c r="R90" s="14">
        <f t="shared" si="45"/>
        <v>13907251.17576923</v>
      </c>
      <c r="S90" s="14">
        <f t="shared" si="45"/>
        <v>13353785.85615384</v>
      </c>
      <c r="T90" s="14">
        <f t="shared" si="45"/>
        <v>5413939.1957692299</v>
      </c>
      <c r="U90" s="14">
        <f t="shared" si="45"/>
        <v>260986.155</v>
      </c>
      <c r="V90" s="14">
        <f t="shared" si="45"/>
        <v>0</v>
      </c>
      <c r="W90" s="14">
        <f t="shared" si="45"/>
        <v>0</v>
      </c>
      <c r="X90" s="14">
        <f t="shared" si="45"/>
        <v>0</v>
      </c>
      <c r="Y90" s="14">
        <f t="shared" si="45"/>
        <v>0</v>
      </c>
      <c r="Z90" s="14">
        <f t="shared" si="45"/>
        <v>0</v>
      </c>
      <c r="AA90" s="14">
        <f t="shared" si="45"/>
        <v>0</v>
      </c>
      <c r="AB90" s="14">
        <f t="shared" si="45"/>
        <v>0</v>
      </c>
      <c r="AC90" s="14">
        <f t="shared" si="45"/>
        <v>0</v>
      </c>
      <c r="AD90" s="14">
        <f t="shared" si="45"/>
        <v>0</v>
      </c>
      <c r="AE90" s="14">
        <f t="shared" si="45"/>
        <v>0</v>
      </c>
      <c r="AF90" s="14">
        <f>SUM(B90:AE90)</f>
        <v>515457099.84000015</v>
      </c>
    </row>
    <row r="92" spans="1:32" ht="15" customHeight="1" x14ac:dyDescent="0.25">
      <c r="A92" s="15" t="s">
        <v>74</v>
      </c>
      <c r="B92" s="18">
        <f t="shared" ref="B92:AF92" si="46">B64+B90</f>
        <v>22125479.909612101</v>
      </c>
      <c r="C92" s="18">
        <f t="shared" si="46"/>
        <v>16398543.679999996</v>
      </c>
      <c r="D92" s="18">
        <f t="shared" si="46"/>
        <v>2355501.3600000003</v>
      </c>
      <c r="E92" s="18">
        <f t="shared" si="46"/>
        <v>8871467.2600000016</v>
      </c>
      <c r="F92" s="18">
        <f t="shared" si="46"/>
        <v>25457547.149999999</v>
      </c>
      <c r="G92" s="18">
        <f t="shared" si="46"/>
        <v>19895044.069999997</v>
      </c>
      <c r="H92" s="18">
        <f t="shared" si="46"/>
        <v>21384560.130000003</v>
      </c>
      <c r="I92" s="18">
        <f t="shared" si="46"/>
        <v>28809561.439999994</v>
      </c>
      <c r="J92" s="18">
        <f t="shared" si="46"/>
        <v>31735296.709999986</v>
      </c>
      <c r="K92" s="18">
        <f t="shared" si="46"/>
        <v>112256837.19757894</v>
      </c>
      <c r="L92" s="18">
        <f t="shared" si="46"/>
        <v>113610485.38276042</v>
      </c>
      <c r="M92" s="18">
        <f t="shared" si="46"/>
        <v>72479874.026027888</v>
      </c>
      <c r="N92" s="18">
        <f t="shared" si="46"/>
        <v>70524549.302269548</v>
      </c>
      <c r="O92" s="18">
        <f t="shared" si="46"/>
        <v>62499896.552771322</v>
      </c>
      <c r="P92" s="18">
        <f t="shared" si="46"/>
        <v>33484763.279771283</v>
      </c>
      <c r="Q92" s="18">
        <f t="shared" si="46"/>
        <v>43988027.84161748</v>
      </c>
      <c r="R92" s="18">
        <f t="shared" si="46"/>
        <v>33879669.546003118</v>
      </c>
      <c r="S92" s="18">
        <f t="shared" si="46"/>
        <v>17315280.42115384</v>
      </c>
      <c r="T92" s="18">
        <f t="shared" si="46"/>
        <v>13975913.525769241</v>
      </c>
      <c r="U92" s="18">
        <f t="shared" si="46"/>
        <v>260986.155</v>
      </c>
      <c r="V92" s="18">
        <f t="shared" si="46"/>
        <v>0</v>
      </c>
      <c r="W92" s="18">
        <f t="shared" si="46"/>
        <v>0</v>
      </c>
      <c r="X92" s="18">
        <f t="shared" si="46"/>
        <v>0</v>
      </c>
      <c r="Y92" s="18">
        <f t="shared" si="46"/>
        <v>0</v>
      </c>
      <c r="Z92" s="18">
        <f t="shared" si="46"/>
        <v>0</v>
      </c>
      <c r="AA92" s="18">
        <f t="shared" si="46"/>
        <v>0</v>
      </c>
      <c r="AB92" s="18">
        <f t="shared" si="46"/>
        <v>0</v>
      </c>
      <c r="AC92" s="18">
        <f t="shared" si="46"/>
        <v>0</v>
      </c>
      <c r="AD92" s="18">
        <f t="shared" si="46"/>
        <v>0</v>
      </c>
      <c r="AE92" s="18">
        <f t="shared" si="46"/>
        <v>0</v>
      </c>
      <c r="AF92" s="18">
        <f t="shared" si="46"/>
        <v>751309284.94033515</v>
      </c>
    </row>
    <row r="93" spans="1:32" x14ac:dyDescent="0.25">
      <c r="A93" s="15" t="s">
        <v>76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3000000</v>
      </c>
      <c r="L93" s="18">
        <v>3000000</v>
      </c>
      <c r="M93" s="18">
        <v>5000000</v>
      </c>
      <c r="N93" s="18">
        <v>6017854.7107692296</v>
      </c>
      <c r="O93" s="18">
        <v>10422491.6147692</v>
      </c>
      <c r="P93" s="18">
        <v>67360376.327153906</v>
      </c>
      <c r="Q93" s="18">
        <v>48536813.697881401</v>
      </c>
      <c r="R93" s="18">
        <v>42863066.022303604</v>
      </c>
      <c r="S93" s="18">
        <v>59770811.082274497</v>
      </c>
      <c r="T93" s="18">
        <v>75630539.222333297</v>
      </c>
      <c r="U93" s="18">
        <v>42327288.119125299</v>
      </c>
      <c r="V93" s="18">
        <v>49106008.645748302</v>
      </c>
      <c r="W93" s="18">
        <v>55804109.471974</v>
      </c>
      <c r="X93" s="18">
        <v>50348190.444508798</v>
      </c>
      <c r="Y93" s="18">
        <v>50612198.451884598</v>
      </c>
      <c r="Z93" s="18">
        <v>29520263.099615399</v>
      </c>
      <c r="AA93" s="18">
        <v>24597664.061538499</v>
      </c>
      <c r="AB93" s="18">
        <v>28533770.881538499</v>
      </c>
      <c r="AC93" s="18">
        <v>20113033.850000001</v>
      </c>
      <c r="AD93" s="18">
        <v>1274860.7738461499</v>
      </c>
      <c r="AE93" s="18">
        <v>637430.38692307705</v>
      </c>
      <c r="AF93" s="18">
        <f>SUM(B93:AE93)</f>
        <v>674476770.86418784</v>
      </c>
    </row>
    <row r="94" spans="1:32" ht="15" customHeight="1" x14ac:dyDescent="0.25">
      <c r="A94" s="15" t="s">
        <v>77</v>
      </c>
      <c r="B94" s="18">
        <f t="shared" ref="B94:AF94" si="47">B92+B93</f>
        <v>22125479.909612101</v>
      </c>
      <c r="C94" s="18">
        <f t="shared" si="47"/>
        <v>16398543.679999996</v>
      </c>
      <c r="D94" s="18">
        <f t="shared" si="47"/>
        <v>2355501.3600000003</v>
      </c>
      <c r="E94" s="18">
        <f t="shared" si="47"/>
        <v>8871467.2600000016</v>
      </c>
      <c r="F94" s="18">
        <f t="shared" si="47"/>
        <v>25457547.149999999</v>
      </c>
      <c r="G94" s="18">
        <f t="shared" si="47"/>
        <v>19895044.069999997</v>
      </c>
      <c r="H94" s="18">
        <f t="shared" si="47"/>
        <v>21384560.130000003</v>
      </c>
      <c r="I94" s="18">
        <f t="shared" si="47"/>
        <v>28809561.439999994</v>
      </c>
      <c r="J94" s="18">
        <f t="shared" si="47"/>
        <v>31735296.709999986</v>
      </c>
      <c r="K94" s="18">
        <f t="shared" si="47"/>
        <v>115256837.19757894</v>
      </c>
      <c r="L94" s="18">
        <f t="shared" si="47"/>
        <v>116610485.38276042</v>
      </c>
      <c r="M94" s="18">
        <f t="shared" si="47"/>
        <v>77479874.026027888</v>
      </c>
      <c r="N94" s="18">
        <f t="shared" si="47"/>
        <v>76542404.013038784</v>
      </c>
      <c r="O94" s="18">
        <f t="shared" si="47"/>
        <v>72922388.16754052</v>
      </c>
      <c r="P94" s="18">
        <f t="shared" si="47"/>
        <v>100845139.60692519</v>
      </c>
      <c r="Q94" s="18">
        <f t="shared" si="47"/>
        <v>92524841.539498881</v>
      </c>
      <c r="R94" s="18">
        <f t="shared" si="47"/>
        <v>76742735.568306714</v>
      </c>
      <c r="S94" s="18">
        <f t="shared" si="47"/>
        <v>77086091.50342834</v>
      </c>
      <c r="T94" s="18">
        <f t="shared" si="47"/>
        <v>89606452.748102546</v>
      </c>
      <c r="U94" s="18">
        <f t="shared" si="47"/>
        <v>42588274.2741253</v>
      </c>
      <c r="V94" s="18">
        <f t="shared" si="47"/>
        <v>49106008.645748302</v>
      </c>
      <c r="W94" s="18">
        <f t="shared" si="47"/>
        <v>55804109.471974</v>
      </c>
      <c r="X94" s="18">
        <f t="shared" si="47"/>
        <v>50348190.444508798</v>
      </c>
      <c r="Y94" s="18">
        <f t="shared" si="47"/>
        <v>50612198.451884598</v>
      </c>
      <c r="Z94" s="18">
        <f t="shared" si="47"/>
        <v>29520263.099615399</v>
      </c>
      <c r="AA94" s="18">
        <f t="shared" si="47"/>
        <v>24597664.061538499</v>
      </c>
      <c r="AB94" s="18">
        <f t="shared" si="47"/>
        <v>28533770.881538499</v>
      </c>
      <c r="AC94" s="18">
        <f t="shared" si="47"/>
        <v>20113033.850000001</v>
      </c>
      <c r="AD94" s="18">
        <f t="shared" si="47"/>
        <v>1274860.7738461499</v>
      </c>
      <c r="AE94" s="18">
        <f t="shared" si="47"/>
        <v>637430.38692307705</v>
      </c>
      <c r="AF94" s="18">
        <f t="shared" si="47"/>
        <v>1425786055.804523</v>
      </c>
    </row>
    <row r="95" spans="1:32" ht="15" customHeight="1" x14ac:dyDescent="0.25">
      <c r="A95" s="19"/>
      <c r="B95" s="19"/>
      <c r="C95" s="19"/>
      <c r="D95" s="19"/>
      <c r="E95" s="19"/>
      <c r="F95" s="19"/>
      <c r="G95" s="19"/>
      <c r="H95" s="19"/>
    </row>
  </sheetData>
  <mergeCells count="1">
    <mergeCell ref="A2:H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5" width="16" customWidth="1"/>
  </cols>
  <sheetData>
    <row r="1" spans="1:9" ht="19.5" customHeight="1" x14ac:dyDescent="0.3">
      <c r="A1" s="5" t="s">
        <v>78</v>
      </c>
    </row>
    <row r="2" spans="1:9" ht="15" customHeight="1" x14ac:dyDescent="0.25">
      <c r="A2" s="20" t="s">
        <v>79</v>
      </c>
    </row>
    <row r="4" spans="1:9" ht="15" customHeight="1" x14ac:dyDescent="0.25">
      <c r="A4" s="21" t="s">
        <v>80</v>
      </c>
      <c r="B4" s="21" t="s">
        <v>81</v>
      </c>
      <c r="C4" s="21" t="s">
        <v>82</v>
      </c>
      <c r="D4" s="21" t="s">
        <v>83</v>
      </c>
      <c r="E4" s="21" t="s">
        <v>84</v>
      </c>
    </row>
    <row r="5" spans="1:9" ht="15" customHeight="1" x14ac:dyDescent="0.25">
      <c r="A5" s="22" t="s">
        <v>85</v>
      </c>
      <c r="B5" s="23">
        <v>27978634.757459801</v>
      </c>
      <c r="C5" s="23">
        <v>40298238.100000001</v>
      </c>
      <c r="D5" s="24">
        <f>B5-C5</f>
        <v>-12319603.342540201</v>
      </c>
      <c r="E5" s="25">
        <f>IFERROR(D5/B5,0)</f>
        <v>-0.440321818749769</v>
      </c>
    </row>
    <row r="6" spans="1:9" ht="15" customHeight="1" x14ac:dyDescent="0.25">
      <c r="A6" s="22" t="s">
        <v>86</v>
      </c>
      <c r="B6" s="23">
        <v>197603681.17550001</v>
      </c>
      <c r="C6" s="23">
        <v>114609283.7</v>
      </c>
      <c r="D6" s="24">
        <f>B6-C6</f>
        <v>82994397.475500003</v>
      </c>
      <c r="E6" s="25">
        <f>IFERROR(D6/B6,0)</f>
        <v>0.42000430853203208</v>
      </c>
    </row>
    <row r="7" spans="1:9" ht="15" customHeight="1" x14ac:dyDescent="0.25">
      <c r="A7" s="26" t="s">
        <v>87</v>
      </c>
      <c r="B7" s="27">
        <f>SUM(B5:B6)</f>
        <v>225582315.93295979</v>
      </c>
      <c r="C7" s="27">
        <f>SUM(C5:C6)</f>
        <v>154907521.80000001</v>
      </c>
      <c r="D7" s="27">
        <f>B7-C7</f>
        <v>70674794.132959783</v>
      </c>
      <c r="E7" s="28">
        <f>IFERROR(D7/B7,0)</f>
        <v>0.31329935522943847</v>
      </c>
    </row>
    <row r="9" spans="1:9" ht="15" customHeight="1" x14ac:dyDescent="0.25">
      <c r="A9" s="29" t="s">
        <v>88</v>
      </c>
    </row>
    <row r="10" spans="1:9" ht="42" customHeight="1" x14ac:dyDescent="0.25">
      <c r="A10" s="3" t="s">
        <v>89</v>
      </c>
      <c r="B10" s="3"/>
      <c r="C10" s="3"/>
      <c r="D10" s="3"/>
      <c r="E10" s="3"/>
      <c r="F10" s="3"/>
      <c r="G10" s="3"/>
      <c r="H10" s="3"/>
      <c r="I10" s="3"/>
    </row>
    <row r="11" spans="1:9" ht="42" customHeight="1" x14ac:dyDescent="0.25">
      <c r="A11" s="3" t="s">
        <v>90</v>
      </c>
      <c r="B11" s="3"/>
      <c r="C11" s="3"/>
      <c r="D11" s="3"/>
      <c r="E11" s="3"/>
      <c r="F11" s="3"/>
      <c r="G11" s="3"/>
      <c r="H11" s="3"/>
      <c r="I11" s="3"/>
    </row>
    <row r="12" spans="1:9" ht="42" customHeight="1" x14ac:dyDescent="0.25">
      <c r="A12" s="3" t="s">
        <v>91</v>
      </c>
      <c r="B12" s="3"/>
      <c r="C12" s="3"/>
      <c r="D12" s="3"/>
      <c r="E12" s="3"/>
      <c r="F12" s="3"/>
      <c r="G12" s="3"/>
      <c r="H12" s="3"/>
      <c r="I12" s="3"/>
    </row>
    <row r="13" spans="1:9" ht="42" customHeight="1" x14ac:dyDescent="0.25">
      <c r="A13" s="3" t="s">
        <v>92</v>
      </c>
      <c r="B13" s="3"/>
      <c r="C13" s="3"/>
      <c r="D13" s="3"/>
      <c r="E13" s="3"/>
      <c r="F13" s="3"/>
      <c r="G13" s="3"/>
      <c r="H13" s="3"/>
      <c r="I13" s="3"/>
    </row>
  </sheetData>
  <mergeCells count="4">
    <mergeCell ref="A10:I10"/>
    <mergeCell ref="A11:I11"/>
    <mergeCell ref="A12:I12"/>
    <mergeCell ref="A13:I1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0" customWidth="1"/>
    <col min="2" max="12" width="16" customWidth="1"/>
  </cols>
  <sheetData>
    <row r="1" spans="1:12" ht="19.5" customHeight="1" x14ac:dyDescent="0.3">
      <c r="A1" s="5" t="s">
        <v>93</v>
      </c>
    </row>
    <row r="2" spans="1:12" ht="15" customHeight="1" x14ac:dyDescent="0.25">
      <c r="A2" s="20" t="s">
        <v>94</v>
      </c>
    </row>
    <row r="4" spans="1:12" ht="23.25" customHeight="1" x14ac:dyDescent="0.25">
      <c r="A4" s="21" t="s">
        <v>95</v>
      </c>
      <c r="B4" s="21" t="s">
        <v>96</v>
      </c>
      <c r="C4" s="21" t="s">
        <v>97</v>
      </c>
      <c r="D4" s="21" t="s">
        <v>98</v>
      </c>
      <c r="E4" s="21" t="s">
        <v>99</v>
      </c>
      <c r="F4" s="21" t="s">
        <v>100</v>
      </c>
      <c r="G4" s="21" t="s">
        <v>101</v>
      </c>
      <c r="H4" s="21" t="s">
        <v>102</v>
      </c>
      <c r="I4" s="21" t="s">
        <v>103</v>
      </c>
      <c r="J4" s="21" t="s">
        <v>104</v>
      </c>
      <c r="K4" s="21" t="s">
        <v>105</v>
      </c>
      <c r="L4" s="21" t="s">
        <v>106</v>
      </c>
    </row>
    <row r="5" spans="1:12" ht="15" customHeight="1" x14ac:dyDescent="0.25">
      <c r="A5" s="22" t="s">
        <v>5</v>
      </c>
      <c r="B5" s="23">
        <v>1121587.7960000001</v>
      </c>
      <c r="C5" s="23">
        <v>15407306.5</v>
      </c>
      <c r="D5" s="24">
        <f t="shared" ref="D5:D13" si="0">B5-C5</f>
        <v>-14285718.704</v>
      </c>
      <c r="E5" s="24">
        <f>D5</f>
        <v>-14285718.704</v>
      </c>
      <c r="F5" s="23">
        <v>1387237.5284615399</v>
      </c>
      <c r="G5" s="23">
        <v>991237.18</v>
      </c>
      <c r="H5" s="24">
        <f t="shared" ref="H5:H13" si="1">F5-G5</f>
        <v>396000.34846153983</v>
      </c>
      <c r="I5" s="24">
        <f>H5</f>
        <v>396000.34846153983</v>
      </c>
      <c r="J5" s="24">
        <f t="shared" ref="J5:J13" si="2">B5+F5</f>
        <v>2508825.3244615402</v>
      </c>
      <c r="K5" s="24">
        <f t="shared" ref="K5:K13" si="3">C5+G5</f>
        <v>16398543.68</v>
      </c>
      <c r="L5" s="24">
        <f t="shared" ref="L5:L13" si="4">J5-K5</f>
        <v>-13889718.355538459</v>
      </c>
    </row>
    <row r="6" spans="1:12" ht="15" customHeight="1" x14ac:dyDescent="0.25">
      <c r="A6" s="22" t="s">
        <v>6</v>
      </c>
      <c r="B6" s="23">
        <v>429788.37079999998</v>
      </c>
      <c r="C6" s="23">
        <v>222844.91</v>
      </c>
      <c r="D6" s="24">
        <f t="shared" si="0"/>
        <v>206943.46079999997</v>
      </c>
      <c r="E6" s="24">
        <f t="shared" ref="E6:E12" si="5">E5+D6</f>
        <v>-14078775.2432</v>
      </c>
      <c r="F6" s="23">
        <v>1387237.5284615399</v>
      </c>
      <c r="G6" s="23">
        <v>2132656.4500000002</v>
      </c>
      <c r="H6" s="24">
        <f t="shared" si="1"/>
        <v>-745418.9215384603</v>
      </c>
      <c r="I6" s="24">
        <f t="shared" ref="I6:I12" si="6">I5+H6</f>
        <v>-349418.57307692047</v>
      </c>
      <c r="J6" s="24">
        <f t="shared" si="2"/>
        <v>1817025.8992615398</v>
      </c>
      <c r="K6" s="24">
        <f t="shared" si="3"/>
        <v>2355501.3600000003</v>
      </c>
      <c r="L6" s="24">
        <f t="shared" si="4"/>
        <v>-538475.46073846053</v>
      </c>
    </row>
    <row r="7" spans="1:12" ht="15" customHeight="1" x14ac:dyDescent="0.25">
      <c r="A7" s="22" t="s">
        <v>7</v>
      </c>
      <c r="B7" s="23">
        <v>5799618.3224030202</v>
      </c>
      <c r="C7" s="23">
        <v>2449569.83</v>
      </c>
      <c r="D7" s="24">
        <f t="shared" si="0"/>
        <v>3350048.4924030202</v>
      </c>
      <c r="E7" s="24">
        <f t="shared" si="5"/>
        <v>-10728726.750796981</v>
      </c>
      <c r="F7" s="23">
        <v>3798163.2910000002</v>
      </c>
      <c r="G7" s="23">
        <v>6421897.4299999997</v>
      </c>
      <c r="H7" s="24">
        <f t="shared" si="1"/>
        <v>-2623734.1389999995</v>
      </c>
      <c r="I7" s="24">
        <f t="shared" si="6"/>
        <v>-2973152.7120769201</v>
      </c>
      <c r="J7" s="24">
        <f t="shared" si="2"/>
        <v>9597781.6134030204</v>
      </c>
      <c r="K7" s="24">
        <f t="shared" si="3"/>
        <v>8871467.2599999998</v>
      </c>
      <c r="L7" s="24">
        <f t="shared" si="4"/>
        <v>726314.35340302065</v>
      </c>
    </row>
    <row r="8" spans="1:12" ht="15" customHeight="1" x14ac:dyDescent="0.25">
      <c r="A8" s="22" t="s">
        <v>8</v>
      </c>
      <c r="B8" s="23">
        <v>688406.98019999999</v>
      </c>
      <c r="C8" s="23">
        <v>1833923.43</v>
      </c>
      <c r="D8" s="24">
        <f t="shared" si="0"/>
        <v>-1145516.4498000001</v>
      </c>
      <c r="E8" s="24">
        <f t="shared" si="5"/>
        <v>-11874243.200596981</v>
      </c>
      <c r="F8" s="23">
        <v>11925251.197576899</v>
      </c>
      <c r="G8" s="23">
        <v>23623623.719999999</v>
      </c>
      <c r="H8" s="24">
        <f t="shared" si="1"/>
        <v>-11698372.5224231</v>
      </c>
      <c r="I8" s="24">
        <f t="shared" si="6"/>
        <v>-14671525.234500021</v>
      </c>
      <c r="J8" s="24">
        <f t="shared" si="2"/>
        <v>12613658.177776899</v>
      </c>
      <c r="K8" s="24">
        <f t="shared" si="3"/>
        <v>25457547.149999999</v>
      </c>
      <c r="L8" s="24">
        <f t="shared" si="4"/>
        <v>-12843888.972223099</v>
      </c>
    </row>
    <row r="9" spans="1:12" ht="15" customHeight="1" x14ac:dyDescent="0.25">
      <c r="A9" s="22" t="s">
        <v>9</v>
      </c>
      <c r="B9" s="23">
        <v>1895547.5716840001</v>
      </c>
      <c r="C9" s="23">
        <v>2442502.3199999998</v>
      </c>
      <c r="D9" s="24">
        <f t="shared" si="0"/>
        <v>-546954.74831599975</v>
      </c>
      <c r="E9" s="24">
        <f t="shared" si="5"/>
        <v>-12421197.94891298</v>
      </c>
      <c r="F9" s="23">
        <v>29783109.669653799</v>
      </c>
      <c r="G9" s="23">
        <v>17452541.75</v>
      </c>
      <c r="H9" s="24">
        <f t="shared" si="1"/>
        <v>12330567.919653799</v>
      </c>
      <c r="I9" s="24">
        <f t="shared" si="6"/>
        <v>-2340957.3148462214</v>
      </c>
      <c r="J9" s="24">
        <f t="shared" si="2"/>
        <v>31678657.241337799</v>
      </c>
      <c r="K9" s="24">
        <f t="shared" si="3"/>
        <v>19895044.07</v>
      </c>
      <c r="L9" s="24">
        <f t="shared" si="4"/>
        <v>11783613.171337798</v>
      </c>
    </row>
    <row r="10" spans="1:12" ht="15" customHeight="1" x14ac:dyDescent="0.25">
      <c r="A10" s="22" t="s">
        <v>10</v>
      </c>
      <c r="B10" s="23">
        <v>4597021.0204079999</v>
      </c>
      <c r="C10" s="23">
        <v>4340947.83</v>
      </c>
      <c r="D10" s="24">
        <f t="shared" si="0"/>
        <v>256073.19040799979</v>
      </c>
      <c r="E10" s="24">
        <f t="shared" si="5"/>
        <v>-12165124.758504979</v>
      </c>
      <c r="F10" s="23">
        <v>38576637.579884604</v>
      </c>
      <c r="G10" s="23">
        <v>17043612.300000001</v>
      </c>
      <c r="H10" s="24">
        <f t="shared" si="1"/>
        <v>21533025.279884603</v>
      </c>
      <c r="I10" s="24">
        <f t="shared" si="6"/>
        <v>19192067.965038382</v>
      </c>
      <c r="J10" s="24">
        <f t="shared" si="2"/>
        <v>43173658.600292601</v>
      </c>
      <c r="K10" s="24">
        <f t="shared" si="3"/>
        <v>21384560.130000003</v>
      </c>
      <c r="L10" s="24">
        <f t="shared" si="4"/>
        <v>21789098.470292598</v>
      </c>
    </row>
    <row r="11" spans="1:12" ht="15" customHeight="1" x14ac:dyDescent="0.25">
      <c r="A11" s="22" t="s">
        <v>11</v>
      </c>
      <c r="B11" s="23">
        <v>11213300.9047835</v>
      </c>
      <c r="C11" s="23">
        <v>5475884.7300000004</v>
      </c>
      <c r="D11" s="24">
        <f t="shared" si="0"/>
        <v>5737416.1747834999</v>
      </c>
      <c r="E11" s="24">
        <f t="shared" si="5"/>
        <v>-6427708.5837214794</v>
      </c>
      <c r="F11" s="23">
        <v>68677665.460769206</v>
      </c>
      <c r="G11" s="23">
        <v>23333676.710000001</v>
      </c>
      <c r="H11" s="24">
        <f t="shared" si="1"/>
        <v>45343988.750769205</v>
      </c>
      <c r="I11" s="24">
        <f t="shared" si="6"/>
        <v>64536056.715807587</v>
      </c>
      <c r="J11" s="24">
        <f t="shared" si="2"/>
        <v>79890966.365552709</v>
      </c>
      <c r="K11" s="24">
        <f t="shared" si="3"/>
        <v>28809561.440000001</v>
      </c>
      <c r="L11" s="24">
        <f t="shared" si="4"/>
        <v>51081404.925552711</v>
      </c>
    </row>
    <row r="12" spans="1:12" ht="15" customHeight="1" x14ac:dyDescent="0.25">
      <c r="A12" s="22" t="s">
        <v>12</v>
      </c>
      <c r="B12" s="23">
        <v>2233363.79118127</v>
      </c>
      <c r="C12" s="23">
        <v>8125258.5499999998</v>
      </c>
      <c r="D12" s="24">
        <f t="shared" si="0"/>
        <v>-5891894.7588187298</v>
      </c>
      <c r="E12" s="24">
        <f t="shared" si="5"/>
        <v>-12319603.342540208</v>
      </c>
      <c r="F12" s="23">
        <v>42068378.9196923</v>
      </c>
      <c r="G12" s="23">
        <v>23610038.16</v>
      </c>
      <c r="H12" s="24">
        <f t="shared" si="1"/>
        <v>18458340.7596923</v>
      </c>
      <c r="I12" s="24">
        <f t="shared" si="6"/>
        <v>82994397.475499883</v>
      </c>
      <c r="J12" s="24">
        <f t="shared" si="2"/>
        <v>44301742.710873574</v>
      </c>
      <c r="K12" s="24">
        <f t="shared" si="3"/>
        <v>31735296.710000001</v>
      </c>
      <c r="L12" s="24">
        <f t="shared" si="4"/>
        <v>12566446.000873573</v>
      </c>
    </row>
    <row r="13" spans="1:12" ht="15" customHeight="1" x14ac:dyDescent="0.25">
      <c r="A13" s="26" t="s">
        <v>87</v>
      </c>
      <c r="B13" s="27">
        <f>SUM(B5:B12)</f>
        <v>27978634.757459793</v>
      </c>
      <c r="C13" s="27">
        <f>SUM(C5:C12)</f>
        <v>40298238.100000001</v>
      </c>
      <c r="D13" s="27">
        <f t="shared" si="0"/>
        <v>-12319603.342540208</v>
      </c>
      <c r="E13" s="27">
        <f>E12</f>
        <v>-12319603.342540208</v>
      </c>
      <c r="F13" s="27">
        <f>SUM(F5:F12)</f>
        <v>197603681.17549989</v>
      </c>
      <c r="G13" s="27">
        <f>SUM(G5:G12)</f>
        <v>114609283.69999999</v>
      </c>
      <c r="H13" s="27">
        <f t="shared" si="1"/>
        <v>82994397.475499898</v>
      </c>
      <c r="I13" s="27">
        <f>I12</f>
        <v>82994397.475499883</v>
      </c>
      <c r="J13" s="27">
        <f t="shared" si="2"/>
        <v>225582315.93295968</v>
      </c>
      <c r="K13" s="27">
        <f t="shared" si="3"/>
        <v>154907521.79999998</v>
      </c>
      <c r="L13" s="27">
        <f t="shared" si="4"/>
        <v>70674794.132959694</v>
      </c>
    </row>
    <row r="14" spans="1:12" ht="15" customHeight="1" x14ac:dyDescent="0.25">
      <c r="A14" t="s">
        <v>107</v>
      </c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mergeCells count="1">
    <mergeCell ref="A15:L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8"/>
  <sheetViews>
    <sheetView showGridLines="0" topLeftCell="A27" zoomScaleNormal="100" workbookViewId="0"/>
  </sheetViews>
  <sheetFormatPr baseColWidth="10" defaultColWidth="8.7109375" defaultRowHeight="15" x14ac:dyDescent="0.25"/>
  <cols>
    <col min="1" max="1" width="42" customWidth="1"/>
    <col min="2" max="4" width="20" customWidth="1"/>
  </cols>
  <sheetData>
    <row r="1" spans="1:4" ht="19.5" customHeight="1" x14ac:dyDescent="0.3">
      <c r="A1" s="5" t="s">
        <v>108</v>
      </c>
    </row>
    <row r="2" spans="1:4" ht="15" customHeight="1" x14ac:dyDescent="0.25">
      <c r="A2" s="20" t="s">
        <v>109</v>
      </c>
    </row>
    <row r="4" spans="1:4" ht="15.75" customHeight="1" x14ac:dyDescent="0.25">
      <c r="A4" s="30" t="s">
        <v>110</v>
      </c>
    </row>
    <row r="5" spans="1:4" ht="15" customHeight="1" x14ac:dyDescent="0.25">
      <c r="A5" s="31" t="s">
        <v>111</v>
      </c>
      <c r="B5" s="32">
        <v>235852185.100335</v>
      </c>
    </row>
    <row r="6" spans="1:4" ht="15" customHeight="1" x14ac:dyDescent="0.25">
      <c r="A6" s="31" t="s">
        <v>112</v>
      </c>
      <c r="B6" s="32">
        <v>22125479.909612101</v>
      </c>
    </row>
    <row r="7" spans="1:4" ht="15" customHeight="1" x14ac:dyDescent="0.25">
      <c r="A7" s="31" t="s">
        <v>113</v>
      </c>
      <c r="B7" s="32">
        <v>40298238.100000001</v>
      </c>
    </row>
    <row r="8" spans="1:4" ht="15" customHeight="1" x14ac:dyDescent="0.25">
      <c r="A8" s="31" t="s">
        <v>114</v>
      </c>
      <c r="B8" s="33">
        <f>B6+B7</f>
        <v>62423718.009612098</v>
      </c>
    </row>
    <row r="9" spans="1:4" ht="15" customHeight="1" x14ac:dyDescent="0.25">
      <c r="A9" s="34" t="s">
        <v>115</v>
      </c>
      <c r="B9" s="35">
        <f>B5-B8</f>
        <v>173428467.09072292</v>
      </c>
    </row>
    <row r="11" spans="1:4" ht="23.25" customHeight="1" x14ac:dyDescent="0.25">
      <c r="A11" s="21" t="s">
        <v>95</v>
      </c>
      <c r="B11" s="21" t="s">
        <v>116</v>
      </c>
      <c r="C11" s="21" t="s">
        <v>117</v>
      </c>
      <c r="D11" s="21" t="s">
        <v>118</v>
      </c>
    </row>
    <row r="12" spans="1:4" ht="15" customHeight="1" x14ac:dyDescent="0.25">
      <c r="A12" s="22" t="s">
        <v>11</v>
      </c>
      <c r="B12" s="23">
        <v>11213300.9047835</v>
      </c>
      <c r="C12" s="23">
        <v>5475884.7300000004</v>
      </c>
      <c r="D12" s="24">
        <f t="shared" ref="D12:D25" si="0">C12-B12</f>
        <v>-5737416.1747834999</v>
      </c>
    </row>
    <row r="13" spans="1:4" ht="15" customHeight="1" x14ac:dyDescent="0.25">
      <c r="A13" s="22" t="s">
        <v>12</v>
      </c>
      <c r="B13" s="23">
        <v>2233363.79118127</v>
      </c>
      <c r="C13" s="24">
        <v>8125258.5499999998</v>
      </c>
      <c r="D13" s="24">
        <f t="shared" si="0"/>
        <v>5891894.7588187298</v>
      </c>
    </row>
    <row r="14" spans="1:4" ht="15" customHeight="1" x14ac:dyDescent="0.25">
      <c r="A14" s="22" t="s">
        <v>13</v>
      </c>
      <c r="B14" s="23">
        <v>25883233.068144899</v>
      </c>
      <c r="C14" s="24">
        <f>B14+($B$9-SUM($B$14:$B$25))/2</f>
        <v>19723431.393367451</v>
      </c>
      <c r="D14" s="24">
        <f t="shared" si="0"/>
        <v>-6159801.6747774482</v>
      </c>
    </row>
    <row r="15" spans="1:4" ht="15" customHeight="1" x14ac:dyDescent="0.25">
      <c r="A15" s="22" t="s">
        <v>14</v>
      </c>
      <c r="B15" s="23">
        <v>19023862.732095499</v>
      </c>
      <c r="C15" s="24">
        <f>B15+($B$9-SUM($B$14:$B$25))/2</f>
        <v>12864061.05731805</v>
      </c>
      <c r="D15" s="24">
        <f t="shared" si="0"/>
        <v>-6159801.6747774482</v>
      </c>
    </row>
    <row r="16" spans="1:4" ht="15" customHeight="1" x14ac:dyDescent="0.25">
      <c r="A16" s="22" t="s">
        <v>15</v>
      </c>
      <c r="B16" s="23">
        <v>30184986.256797101</v>
      </c>
      <c r="C16" s="24">
        <f t="shared" ref="C16:C25" si="1">B16</f>
        <v>30184986.256797101</v>
      </c>
      <c r="D16" s="24">
        <f t="shared" si="0"/>
        <v>0</v>
      </c>
    </row>
    <row r="17" spans="1:4" ht="15" customHeight="1" x14ac:dyDescent="0.25">
      <c r="A17" s="22" t="s">
        <v>16</v>
      </c>
      <c r="B17" s="23">
        <v>22131186.533038799</v>
      </c>
      <c r="C17" s="24">
        <f t="shared" si="1"/>
        <v>22131186.533038799</v>
      </c>
      <c r="D17" s="24">
        <f t="shared" si="0"/>
        <v>0</v>
      </c>
    </row>
    <row r="18" spans="1:4" ht="15" customHeight="1" x14ac:dyDescent="0.25">
      <c r="A18" s="22" t="s">
        <v>17</v>
      </c>
      <c r="B18" s="23">
        <v>22631604.3916559</v>
      </c>
      <c r="C18" s="24">
        <f t="shared" si="1"/>
        <v>22631604.3916559</v>
      </c>
      <c r="D18" s="24">
        <f t="shared" si="0"/>
        <v>0</v>
      </c>
    </row>
    <row r="19" spans="1:4" ht="15" customHeight="1" x14ac:dyDescent="0.25">
      <c r="A19" s="22" t="s">
        <v>18</v>
      </c>
      <c r="B19" s="23">
        <v>18550349.1751559</v>
      </c>
      <c r="C19" s="24">
        <f t="shared" si="1"/>
        <v>18550349.1751559</v>
      </c>
      <c r="D19" s="24">
        <f t="shared" si="0"/>
        <v>0</v>
      </c>
    </row>
    <row r="20" spans="1:4" ht="15" customHeight="1" x14ac:dyDescent="0.25">
      <c r="A20" s="22" t="s">
        <v>19</v>
      </c>
      <c r="B20" s="23">
        <v>14846961.018155901</v>
      </c>
      <c r="C20" s="24">
        <f t="shared" si="1"/>
        <v>14846961.018155901</v>
      </c>
      <c r="D20" s="24">
        <f t="shared" si="0"/>
        <v>0</v>
      </c>
    </row>
    <row r="21" spans="1:4" ht="15" customHeight="1" x14ac:dyDescent="0.25">
      <c r="A21" s="22" t="s">
        <v>20</v>
      </c>
      <c r="B21" s="23">
        <v>19972418.3702338</v>
      </c>
      <c r="C21" s="24">
        <f t="shared" si="1"/>
        <v>19972418.3702338</v>
      </c>
      <c r="D21" s="24">
        <f t="shared" si="0"/>
        <v>0</v>
      </c>
    </row>
    <row r="22" spans="1:4" ht="15" customHeight="1" x14ac:dyDescent="0.25">
      <c r="A22" s="22" t="s">
        <v>21</v>
      </c>
      <c r="B22" s="23">
        <v>3961494.5649999999</v>
      </c>
      <c r="C22" s="24">
        <f t="shared" si="1"/>
        <v>3961494.5649999999</v>
      </c>
      <c r="D22" s="24">
        <f t="shared" si="0"/>
        <v>0</v>
      </c>
    </row>
    <row r="23" spans="1:4" ht="15" customHeight="1" x14ac:dyDescent="0.25">
      <c r="A23" s="22" t="s">
        <v>22</v>
      </c>
      <c r="B23" s="23">
        <v>8561974.3300000094</v>
      </c>
      <c r="C23" s="24">
        <f t="shared" si="1"/>
        <v>8561974.3300000094</v>
      </c>
      <c r="D23" s="24">
        <f t="shared" si="0"/>
        <v>0</v>
      </c>
    </row>
    <row r="24" spans="1:4" ht="15" customHeight="1" x14ac:dyDescent="0.25">
      <c r="A24" s="22" t="s">
        <v>23</v>
      </c>
      <c r="B24" s="23">
        <v>0</v>
      </c>
      <c r="C24" s="24">
        <f t="shared" si="1"/>
        <v>0</v>
      </c>
      <c r="D24" s="24">
        <f t="shared" si="0"/>
        <v>0</v>
      </c>
    </row>
    <row r="25" spans="1:4" ht="15" customHeight="1" x14ac:dyDescent="0.25">
      <c r="A25" s="22" t="s">
        <v>24</v>
      </c>
      <c r="B25" s="23">
        <v>0</v>
      </c>
      <c r="C25" s="24">
        <f t="shared" si="1"/>
        <v>0</v>
      </c>
      <c r="D25" s="24">
        <f t="shared" si="0"/>
        <v>0</v>
      </c>
    </row>
    <row r="26" spans="1:4" ht="15" customHeight="1" x14ac:dyDescent="0.25">
      <c r="A26" s="26" t="s">
        <v>119</v>
      </c>
      <c r="B26" s="27">
        <f>SUM(B12:B25)</f>
        <v>199194735.1362426</v>
      </c>
      <c r="C26" s="27">
        <f>SUM(C12:C25)</f>
        <v>187029610.37072292</v>
      </c>
      <c r="D26" s="36"/>
    </row>
    <row r="27" spans="1:4" ht="15" customHeight="1" x14ac:dyDescent="0.25">
      <c r="A27" s="31" t="s">
        <v>120</v>
      </c>
      <c r="B27" s="37">
        <f>$B$9-SUM($B$14:$B$25)</f>
        <v>-12319603.349554896</v>
      </c>
    </row>
    <row r="28" spans="1:4" ht="15" customHeight="1" x14ac:dyDescent="0.25">
      <c r="A28" t="s">
        <v>121</v>
      </c>
      <c r="B28">
        <f>B8+SUM(C14:C25)</f>
        <v>235852185.100335</v>
      </c>
      <c r="C28" s="38">
        <f>B5</f>
        <v>235852185.100335</v>
      </c>
      <c r="D28">
        <f>B28-C28</f>
        <v>0</v>
      </c>
    </row>
    <row r="30" spans="1:4" ht="15.75" customHeight="1" x14ac:dyDescent="0.25">
      <c r="A30" s="30" t="s">
        <v>122</v>
      </c>
    </row>
    <row r="31" spans="1:4" ht="15" customHeight="1" x14ac:dyDescent="0.25">
      <c r="A31" s="31" t="s">
        <v>111</v>
      </c>
      <c r="B31" s="32">
        <v>515457099.83999997</v>
      </c>
    </row>
    <row r="32" spans="1:4" ht="15" customHeight="1" x14ac:dyDescent="0.25">
      <c r="A32" s="31" t="s">
        <v>112</v>
      </c>
      <c r="B32" s="32">
        <v>0</v>
      </c>
    </row>
    <row r="33" spans="1:4" ht="15" customHeight="1" x14ac:dyDescent="0.25">
      <c r="A33" s="31" t="s">
        <v>113</v>
      </c>
      <c r="B33" s="32">
        <v>114609283.7</v>
      </c>
    </row>
    <row r="34" spans="1:4" ht="15" customHeight="1" x14ac:dyDescent="0.25">
      <c r="A34" s="31" t="s">
        <v>114</v>
      </c>
      <c r="B34" s="33">
        <f>B32+B33</f>
        <v>114609283.7</v>
      </c>
    </row>
    <row r="35" spans="1:4" ht="15" customHeight="1" x14ac:dyDescent="0.25">
      <c r="A35" s="34" t="s">
        <v>115</v>
      </c>
      <c r="B35" s="35">
        <f>B31-B34</f>
        <v>400847816.13999999</v>
      </c>
    </row>
    <row r="37" spans="1:4" ht="23.25" customHeight="1" x14ac:dyDescent="0.25">
      <c r="A37" s="21" t="s">
        <v>95</v>
      </c>
      <c r="B37" s="21" t="s">
        <v>116</v>
      </c>
      <c r="C37" s="21" t="s">
        <v>117</v>
      </c>
      <c r="D37" s="21" t="s">
        <v>118</v>
      </c>
    </row>
    <row r="38" spans="1:4" ht="15" customHeight="1" x14ac:dyDescent="0.25">
      <c r="A38" s="22" t="s">
        <v>11</v>
      </c>
      <c r="B38" s="23">
        <v>68677665.460769206</v>
      </c>
      <c r="C38" s="23">
        <v>23333676.710000001</v>
      </c>
      <c r="D38" s="24">
        <f t="shared" ref="D38:D51" si="2">C38-B38</f>
        <v>-45343988.750769205</v>
      </c>
    </row>
    <row r="39" spans="1:4" ht="15" customHeight="1" x14ac:dyDescent="0.25">
      <c r="A39" s="22" t="s">
        <v>12</v>
      </c>
      <c r="B39" s="23">
        <v>42068378.9196923</v>
      </c>
      <c r="C39" s="24">
        <v>23610038.16</v>
      </c>
      <c r="D39" s="24">
        <f t="shared" si="2"/>
        <v>-18458340.7596923</v>
      </c>
    </row>
    <row r="40" spans="1:4" ht="15" customHeight="1" x14ac:dyDescent="0.25">
      <c r="A40" s="22" t="s">
        <v>13</v>
      </c>
      <c r="B40" s="23">
        <v>51036207.066461504</v>
      </c>
      <c r="C40" s="24">
        <f>B40+($B$35-SUM($B$40:$B$51))/2</f>
        <v>92533405.804211497</v>
      </c>
      <c r="D40" s="24">
        <f t="shared" si="2"/>
        <v>41497198.737749994</v>
      </c>
    </row>
    <row r="41" spans="1:4" ht="15" customHeight="1" x14ac:dyDescent="0.25">
      <c r="A41" s="22" t="s">
        <v>14</v>
      </c>
      <c r="B41" s="23">
        <v>59249225.587692298</v>
      </c>
      <c r="C41" s="24">
        <f>B41+($B$35-SUM($B$40:$B$51))/2</f>
        <v>100746424.32544228</v>
      </c>
      <c r="D41" s="24">
        <f t="shared" si="2"/>
        <v>41497198.737749986</v>
      </c>
    </row>
    <row r="42" spans="1:4" ht="15" customHeight="1" x14ac:dyDescent="0.25">
      <c r="A42" s="22" t="s">
        <v>15</v>
      </c>
      <c r="B42" s="23">
        <v>42294887.769230798</v>
      </c>
      <c r="C42" s="24">
        <f t="shared" ref="C42:C51" si="3">B42</f>
        <v>42294887.769230798</v>
      </c>
      <c r="D42" s="24">
        <f t="shared" si="2"/>
        <v>0</v>
      </c>
    </row>
    <row r="43" spans="1:4" ht="15" customHeight="1" x14ac:dyDescent="0.25">
      <c r="A43" s="22" t="s">
        <v>16</v>
      </c>
      <c r="B43" s="23">
        <v>48393362.769230798</v>
      </c>
      <c r="C43" s="24">
        <f t="shared" si="3"/>
        <v>48393362.769230798</v>
      </c>
      <c r="D43" s="24">
        <f t="shared" si="2"/>
        <v>0</v>
      </c>
    </row>
    <row r="44" spans="1:4" ht="15" customHeight="1" x14ac:dyDescent="0.25">
      <c r="A44" s="22" t="s">
        <v>17</v>
      </c>
      <c r="B44" s="23">
        <v>39868292.1611154</v>
      </c>
      <c r="C44" s="24">
        <f t="shared" si="3"/>
        <v>39868292.1611154</v>
      </c>
      <c r="D44" s="24">
        <f t="shared" si="2"/>
        <v>0</v>
      </c>
    </row>
    <row r="45" spans="1:4" ht="15" customHeight="1" x14ac:dyDescent="0.25">
      <c r="A45" s="22" t="s">
        <v>18</v>
      </c>
      <c r="B45" s="23">
        <v>14934414.1046154</v>
      </c>
      <c r="C45" s="24">
        <f t="shared" si="3"/>
        <v>14934414.1046154</v>
      </c>
      <c r="D45" s="24">
        <f t="shared" si="2"/>
        <v>0</v>
      </c>
    </row>
    <row r="46" spans="1:4" ht="15" customHeight="1" x14ac:dyDescent="0.25">
      <c r="A46" s="22" t="s">
        <v>19</v>
      </c>
      <c r="B46" s="23">
        <v>29141066.823461499</v>
      </c>
      <c r="C46" s="24">
        <f t="shared" si="3"/>
        <v>29141066.823461499</v>
      </c>
      <c r="D46" s="24">
        <f t="shared" si="2"/>
        <v>0</v>
      </c>
    </row>
    <row r="47" spans="1:4" ht="15" customHeight="1" x14ac:dyDescent="0.25">
      <c r="A47" s="22" t="s">
        <v>20</v>
      </c>
      <c r="B47" s="23">
        <v>13907251.175769201</v>
      </c>
      <c r="C47" s="24">
        <f t="shared" si="3"/>
        <v>13907251.175769201</v>
      </c>
      <c r="D47" s="24">
        <f t="shared" si="2"/>
        <v>0</v>
      </c>
    </row>
    <row r="48" spans="1:4" ht="15" customHeight="1" x14ac:dyDescent="0.25">
      <c r="A48" s="22" t="s">
        <v>21</v>
      </c>
      <c r="B48" s="23">
        <v>13353785.8561539</v>
      </c>
      <c r="C48" s="24">
        <f t="shared" si="3"/>
        <v>13353785.8561539</v>
      </c>
      <c r="D48" s="24">
        <f t="shared" si="2"/>
        <v>0</v>
      </c>
    </row>
    <row r="49" spans="1:4" ht="15" customHeight="1" x14ac:dyDescent="0.25">
      <c r="A49" s="22" t="s">
        <v>22</v>
      </c>
      <c r="B49" s="23">
        <v>5413939.1957692299</v>
      </c>
      <c r="C49" s="24">
        <f t="shared" si="3"/>
        <v>5413939.1957692299</v>
      </c>
      <c r="D49" s="24">
        <f t="shared" si="2"/>
        <v>0</v>
      </c>
    </row>
    <row r="50" spans="1:4" ht="15" customHeight="1" x14ac:dyDescent="0.25">
      <c r="A50" s="22" t="s">
        <v>23</v>
      </c>
      <c r="B50" s="23">
        <v>260986.155</v>
      </c>
      <c r="C50" s="24">
        <f t="shared" si="3"/>
        <v>260986.155</v>
      </c>
      <c r="D50" s="24">
        <f t="shared" si="2"/>
        <v>0</v>
      </c>
    </row>
    <row r="51" spans="1:4" ht="15" customHeight="1" x14ac:dyDescent="0.25">
      <c r="A51" s="22" t="s">
        <v>24</v>
      </c>
      <c r="B51" s="23">
        <v>0</v>
      </c>
      <c r="C51" s="24">
        <f t="shared" si="3"/>
        <v>0</v>
      </c>
      <c r="D51" s="24">
        <f t="shared" si="2"/>
        <v>0</v>
      </c>
    </row>
    <row r="52" spans="1:4" ht="15" customHeight="1" x14ac:dyDescent="0.25">
      <c r="A52" s="26" t="s">
        <v>119</v>
      </c>
      <c r="B52" s="27">
        <f>SUM(B38:B51)</f>
        <v>428599463.04496151</v>
      </c>
      <c r="C52" s="27">
        <f>SUM(C38:C51)</f>
        <v>447791531.00999999</v>
      </c>
      <c r="D52" s="36"/>
    </row>
    <row r="53" spans="1:4" ht="15" customHeight="1" x14ac:dyDescent="0.25">
      <c r="A53" s="31" t="s">
        <v>120</v>
      </c>
      <c r="B53" s="37">
        <f>$B$35-SUM($B$40:$B$51)</f>
        <v>82994397.475499988</v>
      </c>
    </row>
    <row r="54" spans="1:4" ht="15" customHeight="1" x14ac:dyDescent="0.25">
      <c r="A54" t="s">
        <v>121</v>
      </c>
      <c r="B54">
        <f>B34+SUM(C40:C51)</f>
        <v>515457099.83999997</v>
      </c>
      <c r="C54" s="38">
        <f>B31</f>
        <v>515457099.83999997</v>
      </c>
      <c r="D54">
        <f>B54-C54</f>
        <v>0</v>
      </c>
    </row>
    <row r="56" spans="1:4" ht="45" customHeight="1" x14ac:dyDescent="0.25">
      <c r="A56" s="1" t="s">
        <v>123</v>
      </c>
      <c r="B56" s="1"/>
      <c r="C56" s="1"/>
      <c r="D56" s="1"/>
    </row>
    <row r="57" spans="1:4" ht="15" customHeight="1" x14ac:dyDescent="0.25">
      <c r="A57" s="1"/>
      <c r="B57" s="1"/>
      <c r="C57" s="1"/>
      <c r="D57" s="1"/>
    </row>
    <row r="58" spans="1:4" ht="15" customHeight="1" x14ac:dyDescent="0.25">
      <c r="A58" s="1"/>
      <c r="B58" s="1"/>
      <c r="C58" s="1"/>
      <c r="D58" s="1"/>
    </row>
  </sheetData>
  <mergeCells count="1">
    <mergeCell ref="A56:D5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6"/>
  <sheetViews>
    <sheetView showGridLines="0" zoomScaleNormal="100" workbookViewId="0">
      <pane xSplit="1" ySplit="4" topLeftCell="B32" activePane="bottomRight" state="frozen"/>
      <selection pane="topRight" activeCell="B1" sqref="B1"/>
      <selection pane="bottomLeft" activeCell="A32" sqref="A32"/>
      <selection pane="bottomRight"/>
    </sheetView>
  </sheetViews>
  <sheetFormatPr baseColWidth="10" defaultColWidth="8.7109375" defaultRowHeight="15" x14ac:dyDescent="0.25"/>
  <cols>
    <col min="1" max="1" width="34" customWidth="1"/>
    <col min="2" max="8" width="14" customWidth="1"/>
  </cols>
  <sheetData>
    <row r="1" spans="1:8" ht="19.5" customHeight="1" x14ac:dyDescent="0.3">
      <c r="A1" s="5" t="s">
        <v>124</v>
      </c>
    </row>
    <row r="2" spans="1:8" ht="15" customHeight="1" x14ac:dyDescent="0.25">
      <c r="A2" s="20" t="s">
        <v>125</v>
      </c>
    </row>
    <row r="4" spans="1:8" ht="15" customHeight="1" x14ac:dyDescent="0.25">
      <c r="A4" s="21" t="s">
        <v>3</v>
      </c>
      <c r="B4" s="21" t="s">
        <v>5</v>
      </c>
      <c r="C4" s="21" t="s">
        <v>6</v>
      </c>
      <c r="D4" s="21" t="s">
        <v>7</v>
      </c>
      <c r="E4" s="21" t="s">
        <v>8</v>
      </c>
      <c r="F4" s="21" t="s">
        <v>9</v>
      </c>
      <c r="G4" s="21" t="s">
        <v>10</v>
      </c>
      <c r="H4" s="21" t="s">
        <v>126</v>
      </c>
    </row>
    <row r="5" spans="1:8" ht="15" customHeight="1" x14ac:dyDescent="0.25">
      <c r="A5" s="39" t="s">
        <v>110</v>
      </c>
      <c r="B5" s="7"/>
      <c r="C5" s="7"/>
      <c r="D5" s="7"/>
      <c r="E5" s="7"/>
      <c r="F5" s="7"/>
      <c r="G5" s="7"/>
      <c r="H5" s="7"/>
    </row>
    <row r="6" spans="1:8" ht="15" customHeight="1" x14ac:dyDescent="0.25">
      <c r="A6" s="22" t="s">
        <v>35</v>
      </c>
      <c r="B6" s="23">
        <v>330400</v>
      </c>
      <c r="C6" s="23">
        <v>128384</v>
      </c>
      <c r="D6" s="23">
        <v>1533833.6274030199</v>
      </c>
      <c r="E6" s="23">
        <v>0</v>
      </c>
      <c r="F6" s="23">
        <v>0</v>
      </c>
      <c r="G6" s="23">
        <v>0</v>
      </c>
      <c r="H6" s="24">
        <f t="shared" ref="H6:H18" si="0">SUM(B6:G6)</f>
        <v>1992617.6274030199</v>
      </c>
    </row>
    <row r="7" spans="1:8" ht="15" customHeight="1" x14ac:dyDescent="0.25">
      <c r="A7" s="22" t="s">
        <v>36</v>
      </c>
      <c r="B7" s="23">
        <v>0</v>
      </c>
      <c r="C7" s="23">
        <v>0</v>
      </c>
      <c r="D7" s="23">
        <v>0</v>
      </c>
      <c r="E7" s="23">
        <v>0</v>
      </c>
      <c r="F7" s="23">
        <v>1895547.5716840001</v>
      </c>
      <c r="G7" s="23">
        <v>4597021.0204079999</v>
      </c>
      <c r="H7" s="24">
        <f t="shared" si="0"/>
        <v>6492568.5920919999</v>
      </c>
    </row>
    <row r="8" spans="1:8" ht="15" customHeight="1" x14ac:dyDescent="0.25">
      <c r="A8" s="22" t="s">
        <v>37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4">
        <f t="shared" si="0"/>
        <v>0</v>
      </c>
    </row>
    <row r="9" spans="1:8" ht="15" customHeight="1" x14ac:dyDescent="0.25">
      <c r="A9" s="22" t="s">
        <v>38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4">
        <f t="shared" si="0"/>
        <v>0</v>
      </c>
    </row>
    <row r="10" spans="1:8" ht="15" customHeight="1" x14ac:dyDescent="0.25">
      <c r="A10" s="22" t="s">
        <v>39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4">
        <f t="shared" si="0"/>
        <v>0</v>
      </c>
    </row>
    <row r="11" spans="1:8" ht="15" customHeight="1" x14ac:dyDescent="0.25">
      <c r="A11" s="22" t="s">
        <v>40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4">
        <f t="shared" si="0"/>
        <v>0</v>
      </c>
    </row>
    <row r="12" spans="1:8" ht="15" customHeight="1" x14ac:dyDescent="0.25">
      <c r="A12" s="22" t="s">
        <v>41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4">
        <f t="shared" si="0"/>
        <v>0</v>
      </c>
    </row>
    <row r="13" spans="1:8" ht="15" customHeight="1" x14ac:dyDescent="0.25">
      <c r="A13" s="22" t="s">
        <v>42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4">
        <f t="shared" si="0"/>
        <v>0</v>
      </c>
    </row>
    <row r="14" spans="1:8" ht="15" customHeight="1" x14ac:dyDescent="0.25">
      <c r="A14" s="22" t="s">
        <v>43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4">
        <f t="shared" si="0"/>
        <v>0</v>
      </c>
    </row>
    <row r="15" spans="1:8" ht="15" customHeight="1" x14ac:dyDescent="0.25">
      <c r="A15" s="22" t="s">
        <v>44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4">
        <f t="shared" si="0"/>
        <v>0</v>
      </c>
    </row>
    <row r="16" spans="1:8" ht="15" customHeight="1" x14ac:dyDescent="0.25">
      <c r="A16" s="22" t="s">
        <v>45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4">
        <f t="shared" si="0"/>
        <v>0</v>
      </c>
    </row>
    <row r="17" spans="1:8" ht="15" customHeight="1" x14ac:dyDescent="0.25">
      <c r="A17" s="22" t="s">
        <v>46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4">
        <f t="shared" si="0"/>
        <v>0</v>
      </c>
    </row>
    <row r="18" spans="1:8" ht="15" customHeight="1" x14ac:dyDescent="0.25">
      <c r="A18" s="22" t="s">
        <v>47</v>
      </c>
      <c r="B18" s="23">
        <v>791187.79599999997</v>
      </c>
      <c r="C18" s="23">
        <v>301404.37079999998</v>
      </c>
      <c r="D18" s="23">
        <v>4265784.6950000003</v>
      </c>
      <c r="E18" s="23">
        <v>688406.98019999999</v>
      </c>
      <c r="F18" s="23">
        <v>0</v>
      </c>
      <c r="G18" s="23">
        <v>0</v>
      </c>
      <c r="H18" s="24">
        <f t="shared" si="0"/>
        <v>6046783.8420000002</v>
      </c>
    </row>
    <row r="19" spans="1:8" ht="15" customHeight="1" x14ac:dyDescent="0.25">
      <c r="A19" s="26" t="s">
        <v>48</v>
      </c>
      <c r="B19" s="27">
        <f t="shared" ref="B19:H19" si="1">SUM(B6:B18)</f>
        <v>1121587.7960000001</v>
      </c>
      <c r="C19" s="27">
        <f t="shared" si="1"/>
        <v>429788.37079999998</v>
      </c>
      <c r="D19" s="27">
        <f t="shared" si="1"/>
        <v>5799618.3224030202</v>
      </c>
      <c r="E19" s="27">
        <f t="shared" si="1"/>
        <v>688406.98019999999</v>
      </c>
      <c r="F19" s="27">
        <f t="shared" si="1"/>
        <v>1895547.5716840001</v>
      </c>
      <c r="G19" s="27">
        <f t="shared" si="1"/>
        <v>4597021.0204079999</v>
      </c>
      <c r="H19" s="27">
        <f t="shared" si="1"/>
        <v>14531970.061495021</v>
      </c>
    </row>
    <row r="21" spans="1:8" ht="15" customHeight="1" x14ac:dyDescent="0.25">
      <c r="A21" s="39" t="s">
        <v>122</v>
      </c>
      <c r="B21" s="7"/>
      <c r="C21" s="7"/>
      <c r="D21" s="7"/>
      <c r="E21" s="7"/>
      <c r="F21" s="7"/>
      <c r="G21" s="7"/>
      <c r="H21" s="7"/>
    </row>
    <row r="22" spans="1:8" ht="15" customHeight="1" x14ac:dyDescent="0.25">
      <c r="A22" s="22" t="s">
        <v>49</v>
      </c>
      <c r="B22" s="23">
        <v>360773.793846154</v>
      </c>
      <c r="C22" s="23">
        <v>360773.793846154</v>
      </c>
      <c r="D22" s="23">
        <v>721547.58769230801</v>
      </c>
      <c r="E22" s="23">
        <v>1443095.17538462</v>
      </c>
      <c r="F22" s="23">
        <v>1443095.17538462</v>
      </c>
      <c r="G22" s="23">
        <v>1443095.17538462</v>
      </c>
      <c r="H22" s="24">
        <f t="shared" ref="H22:H45" si="2">SUM(B22:G22)</f>
        <v>5772380.7015384762</v>
      </c>
    </row>
    <row r="23" spans="1:8" ht="15" customHeight="1" x14ac:dyDescent="0.25">
      <c r="A23" s="22" t="s">
        <v>50</v>
      </c>
      <c r="B23" s="23">
        <v>446815.89</v>
      </c>
      <c r="C23" s="23">
        <v>446815.89</v>
      </c>
      <c r="D23" s="23">
        <v>893631.78</v>
      </c>
      <c r="E23" s="23">
        <v>1787263.56</v>
      </c>
      <c r="F23" s="23">
        <v>1787263.56</v>
      </c>
      <c r="G23" s="23">
        <v>1787263.56</v>
      </c>
      <c r="H23" s="24">
        <f t="shared" si="2"/>
        <v>7149054.2400000002</v>
      </c>
    </row>
    <row r="24" spans="1:8" ht="15" customHeight="1" x14ac:dyDescent="0.25">
      <c r="A24" s="22" t="s">
        <v>51</v>
      </c>
      <c r="B24" s="23">
        <v>44847.284615384597</v>
      </c>
      <c r="C24" s="23">
        <v>44847.284615384597</v>
      </c>
      <c r="D24" s="23">
        <v>89694.569230769193</v>
      </c>
      <c r="E24" s="23">
        <v>179389.13846153801</v>
      </c>
      <c r="F24" s="23">
        <v>179389.13846153801</v>
      </c>
      <c r="G24" s="23">
        <v>179389.13846153801</v>
      </c>
      <c r="H24" s="24">
        <f t="shared" si="2"/>
        <v>717556.55384615238</v>
      </c>
    </row>
    <row r="25" spans="1:8" ht="15" customHeight="1" x14ac:dyDescent="0.25">
      <c r="A25" s="22" t="s">
        <v>52</v>
      </c>
      <c r="B25" s="23">
        <v>534800.56000000006</v>
      </c>
      <c r="C25" s="23">
        <v>534800.56000000006</v>
      </c>
      <c r="D25" s="23">
        <v>1069601.1200000001</v>
      </c>
      <c r="E25" s="23">
        <v>2139202.2400000002</v>
      </c>
      <c r="F25" s="23">
        <v>2139202.2400000002</v>
      </c>
      <c r="G25" s="23">
        <v>2139202.2400000002</v>
      </c>
      <c r="H25" s="24">
        <f t="shared" si="2"/>
        <v>8556808.9600000009</v>
      </c>
    </row>
    <row r="26" spans="1:8" ht="15" customHeight="1" x14ac:dyDescent="0.25">
      <c r="A26" s="22" t="s">
        <v>53</v>
      </c>
      <c r="B26" s="23">
        <v>0</v>
      </c>
      <c r="C26" s="23">
        <v>0</v>
      </c>
      <c r="D26" s="23">
        <v>79839.163499999995</v>
      </c>
      <c r="E26" s="23">
        <v>958069.96200000006</v>
      </c>
      <c r="F26" s="23">
        <v>2475014.0685000001</v>
      </c>
      <c r="G26" s="23">
        <v>3353244.8670000001</v>
      </c>
      <c r="H26" s="24">
        <f t="shared" si="2"/>
        <v>6866168.0610000007</v>
      </c>
    </row>
    <row r="27" spans="1:8" ht="15" customHeight="1" x14ac:dyDescent="0.25">
      <c r="A27" s="22" t="s">
        <v>54</v>
      </c>
      <c r="B27" s="23">
        <v>0</v>
      </c>
      <c r="C27" s="23">
        <v>0</v>
      </c>
      <c r="D27" s="23">
        <v>344766.79884615401</v>
      </c>
      <c r="E27" s="23">
        <v>1379067.19538462</v>
      </c>
      <c r="F27" s="23">
        <v>2413367.5919230799</v>
      </c>
      <c r="G27" s="23">
        <v>3447667.9884615401</v>
      </c>
      <c r="H27" s="24">
        <f t="shared" si="2"/>
        <v>7584869.5746153938</v>
      </c>
    </row>
    <row r="28" spans="1:8" ht="15" customHeight="1" x14ac:dyDescent="0.25">
      <c r="A28" s="22" t="s">
        <v>55</v>
      </c>
      <c r="B28" s="23">
        <v>0</v>
      </c>
      <c r="C28" s="23">
        <v>0</v>
      </c>
      <c r="D28" s="23">
        <v>333722.1925</v>
      </c>
      <c r="E28" s="23">
        <v>1668610.9624999999</v>
      </c>
      <c r="F28" s="23">
        <v>2669777.54</v>
      </c>
      <c r="G28" s="23">
        <v>3670944.1175000002</v>
      </c>
      <c r="H28" s="24">
        <f t="shared" si="2"/>
        <v>8343054.8125</v>
      </c>
    </row>
    <row r="29" spans="1:8" ht="15" customHeight="1" x14ac:dyDescent="0.25">
      <c r="A29" s="22" t="s">
        <v>56</v>
      </c>
      <c r="B29" s="23">
        <v>0</v>
      </c>
      <c r="C29" s="23">
        <v>0</v>
      </c>
      <c r="D29" s="23">
        <v>88641.51</v>
      </c>
      <c r="E29" s="23">
        <v>354566.04</v>
      </c>
      <c r="F29" s="23">
        <v>620490.56999999995</v>
      </c>
      <c r="G29" s="23">
        <v>886415.1</v>
      </c>
      <c r="H29" s="24">
        <f t="shared" si="2"/>
        <v>1950113.2199999997</v>
      </c>
    </row>
    <row r="30" spans="1:8" ht="15" customHeight="1" x14ac:dyDescent="0.25">
      <c r="A30" s="22" t="s">
        <v>57</v>
      </c>
      <c r="B30" s="23">
        <v>0</v>
      </c>
      <c r="C30" s="23">
        <v>0</v>
      </c>
      <c r="D30" s="23">
        <v>58435.092499999999</v>
      </c>
      <c r="E30" s="23">
        <v>233740.37</v>
      </c>
      <c r="F30" s="23">
        <v>409045.64750000002</v>
      </c>
      <c r="G30" s="23">
        <v>584350.92500000005</v>
      </c>
      <c r="H30" s="24">
        <f t="shared" si="2"/>
        <v>1285572.0350000001</v>
      </c>
    </row>
    <row r="31" spans="1:8" ht="15" customHeight="1" x14ac:dyDescent="0.25">
      <c r="A31" s="22" t="s">
        <v>58</v>
      </c>
      <c r="B31" s="23">
        <v>0</v>
      </c>
      <c r="C31" s="23">
        <v>0</v>
      </c>
      <c r="D31" s="23">
        <v>64617.03</v>
      </c>
      <c r="E31" s="23">
        <v>258468.12</v>
      </c>
      <c r="F31" s="23">
        <v>452319.21</v>
      </c>
      <c r="G31" s="23">
        <v>646170.30000000005</v>
      </c>
      <c r="H31" s="24">
        <f t="shared" si="2"/>
        <v>1421574.6600000001</v>
      </c>
    </row>
    <row r="32" spans="1:8" ht="15" customHeight="1" x14ac:dyDescent="0.25">
      <c r="A32" s="22" t="s">
        <v>59</v>
      </c>
      <c r="B32" s="23">
        <v>0</v>
      </c>
      <c r="C32" s="23">
        <v>0</v>
      </c>
      <c r="D32" s="23">
        <v>16494.715</v>
      </c>
      <c r="E32" s="23">
        <v>65978.86</v>
      </c>
      <c r="F32" s="23">
        <v>115463.005</v>
      </c>
      <c r="G32" s="23">
        <v>164947.15</v>
      </c>
      <c r="H32" s="24">
        <f t="shared" si="2"/>
        <v>362883.73</v>
      </c>
    </row>
    <row r="33" spans="1:8" ht="15" customHeight="1" x14ac:dyDescent="0.25">
      <c r="A33" s="22" t="s">
        <v>60</v>
      </c>
      <c r="B33" s="23">
        <v>0</v>
      </c>
      <c r="C33" s="23">
        <v>0</v>
      </c>
      <c r="D33" s="23">
        <v>0</v>
      </c>
      <c r="E33" s="23">
        <v>0</v>
      </c>
      <c r="F33" s="23">
        <v>2658473.8199999998</v>
      </c>
      <c r="G33" s="23">
        <v>2658473.8199999998</v>
      </c>
      <c r="H33" s="24">
        <f t="shared" si="2"/>
        <v>5316947.6399999997</v>
      </c>
    </row>
    <row r="34" spans="1:8" ht="15" customHeight="1" x14ac:dyDescent="0.25">
      <c r="A34" s="22" t="s">
        <v>61</v>
      </c>
      <c r="B34" s="23">
        <v>0</v>
      </c>
      <c r="C34" s="23">
        <v>0</v>
      </c>
      <c r="D34" s="23">
        <v>37171.731730769199</v>
      </c>
      <c r="E34" s="23">
        <v>148686.926923077</v>
      </c>
      <c r="F34" s="23">
        <v>260202.12211538499</v>
      </c>
      <c r="G34" s="23">
        <v>371717.31730769202</v>
      </c>
      <c r="H34" s="24">
        <f t="shared" si="2"/>
        <v>817778.09807692317</v>
      </c>
    </row>
    <row r="35" spans="1:8" ht="15" customHeight="1" x14ac:dyDescent="0.25">
      <c r="A35" s="22" t="s">
        <v>62</v>
      </c>
      <c r="B35" s="23">
        <v>0</v>
      </c>
      <c r="C35" s="23">
        <v>0</v>
      </c>
      <c r="D35" s="23">
        <v>0</v>
      </c>
      <c r="E35" s="23">
        <v>0</v>
      </c>
      <c r="F35" s="23">
        <v>4163643.24</v>
      </c>
      <c r="G35" s="23">
        <v>4163643.24</v>
      </c>
      <c r="H35" s="24">
        <f t="shared" si="2"/>
        <v>8327286.4800000004</v>
      </c>
    </row>
    <row r="36" spans="1:8" ht="15" customHeight="1" x14ac:dyDescent="0.25">
      <c r="A36" s="22" t="s">
        <v>63</v>
      </c>
      <c r="B36" s="23">
        <v>0</v>
      </c>
      <c r="C36" s="23">
        <v>0</v>
      </c>
      <c r="D36" s="23">
        <v>0</v>
      </c>
      <c r="E36" s="23">
        <v>1309112.6469230801</v>
      </c>
      <c r="F36" s="23">
        <v>3927337.94076923</v>
      </c>
      <c r="G36" s="23">
        <v>3927337.94076923</v>
      </c>
      <c r="H36" s="24">
        <f t="shared" si="2"/>
        <v>9163788.5284615401</v>
      </c>
    </row>
    <row r="37" spans="1:8" ht="15" customHeight="1" x14ac:dyDescent="0.25">
      <c r="A37" s="22" t="s">
        <v>64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4">
        <f t="shared" si="2"/>
        <v>0</v>
      </c>
    </row>
    <row r="38" spans="1:8" ht="15" customHeight="1" x14ac:dyDescent="0.25">
      <c r="A38" s="22" t="s">
        <v>65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3049237.5</v>
      </c>
      <c r="H38" s="24">
        <f t="shared" si="2"/>
        <v>3049237.5</v>
      </c>
    </row>
    <row r="39" spans="1:8" ht="15" customHeight="1" x14ac:dyDescent="0.25">
      <c r="A39" s="22" t="s">
        <v>66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4">
        <f t="shared" si="2"/>
        <v>0</v>
      </c>
    </row>
    <row r="40" spans="1:8" ht="15" customHeight="1" x14ac:dyDescent="0.25">
      <c r="A40" s="22" t="s">
        <v>67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4">
        <f t="shared" si="2"/>
        <v>0</v>
      </c>
    </row>
    <row r="41" spans="1:8" ht="15" customHeight="1" x14ac:dyDescent="0.25">
      <c r="A41" s="22" t="s">
        <v>68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4">
        <f t="shared" si="2"/>
        <v>0</v>
      </c>
    </row>
    <row r="42" spans="1:8" ht="15" customHeight="1" x14ac:dyDescent="0.25">
      <c r="A42" s="22" t="s">
        <v>69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4">
        <f t="shared" si="2"/>
        <v>0</v>
      </c>
    </row>
    <row r="43" spans="1:8" ht="15" customHeight="1" x14ac:dyDescent="0.25">
      <c r="A43" s="22" t="s">
        <v>70</v>
      </c>
      <c r="B43" s="23">
        <v>0</v>
      </c>
      <c r="C43" s="23">
        <v>0</v>
      </c>
      <c r="D43" s="23">
        <v>0</v>
      </c>
      <c r="E43" s="23">
        <v>0</v>
      </c>
      <c r="F43" s="23">
        <v>476998.84</v>
      </c>
      <c r="G43" s="23">
        <v>715498.26</v>
      </c>
      <c r="H43" s="24">
        <f t="shared" si="2"/>
        <v>1192497.1000000001</v>
      </c>
    </row>
    <row r="44" spans="1:8" ht="15" customHeight="1" x14ac:dyDescent="0.25">
      <c r="A44" s="22" t="s">
        <v>71</v>
      </c>
      <c r="B44" s="23">
        <v>0</v>
      </c>
      <c r="C44" s="23">
        <v>0</v>
      </c>
      <c r="D44" s="23">
        <v>0</v>
      </c>
      <c r="E44" s="23">
        <v>0</v>
      </c>
      <c r="F44" s="23">
        <v>3592025.96</v>
      </c>
      <c r="G44" s="23">
        <v>5388038.9400000004</v>
      </c>
      <c r="H44" s="24">
        <f t="shared" si="2"/>
        <v>8980064.9000000004</v>
      </c>
    </row>
    <row r="45" spans="1:8" ht="15" customHeight="1" x14ac:dyDescent="0.25">
      <c r="A45" s="22" t="s">
        <v>72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4">
        <f t="shared" si="2"/>
        <v>0</v>
      </c>
    </row>
    <row r="46" spans="1:8" ht="15" customHeight="1" x14ac:dyDescent="0.25">
      <c r="A46" s="26" t="s">
        <v>73</v>
      </c>
      <c r="B46" s="27">
        <f t="shared" ref="B46:H46" si="3">SUM(B22:B45)</f>
        <v>1387237.5284615387</v>
      </c>
      <c r="C46" s="27">
        <f t="shared" si="3"/>
        <v>1387237.5284615387</v>
      </c>
      <c r="D46" s="27">
        <f t="shared" si="3"/>
        <v>3798163.2909999997</v>
      </c>
      <c r="E46" s="27">
        <f t="shared" si="3"/>
        <v>11925251.197576933</v>
      </c>
      <c r="F46" s="27">
        <f t="shared" si="3"/>
        <v>29783109.669653855</v>
      </c>
      <c r="G46" s="27">
        <f t="shared" si="3"/>
        <v>38576637.579884619</v>
      </c>
      <c r="H46" s="27">
        <f t="shared" si="3"/>
        <v>86857636.795038477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8:I11"/>
  <sheetViews>
    <sheetView zoomScaleNormal="100" workbookViewId="0">
      <selection activeCell="E11" sqref="E11"/>
    </sheetView>
  </sheetViews>
  <sheetFormatPr baseColWidth="10" defaultColWidth="10.7109375" defaultRowHeight="15" x14ac:dyDescent="0.25"/>
  <cols>
    <col min="5" max="6" width="12.85546875" customWidth="1"/>
    <col min="7" max="9" width="13.85546875" customWidth="1"/>
  </cols>
  <sheetData>
    <row r="8" spans="5:9" ht="15" customHeight="1" x14ac:dyDescent="0.25">
      <c r="E8" s="40">
        <v>222844.91</v>
      </c>
      <c r="F8" s="40">
        <v>2449569.83</v>
      </c>
      <c r="G8" s="40">
        <v>1833923.43</v>
      </c>
      <c r="H8" s="40">
        <v>2442502.3199999998</v>
      </c>
      <c r="I8" s="40">
        <v>4340947.83</v>
      </c>
    </row>
    <row r="9" spans="5:9" ht="15" customHeight="1" x14ac:dyDescent="0.25">
      <c r="E9" s="40">
        <v>2132656.4500000002</v>
      </c>
      <c r="F9" s="40">
        <v>6421897.4299999997</v>
      </c>
      <c r="G9" s="40">
        <v>23623623.719999999</v>
      </c>
      <c r="H9" s="40">
        <v>17452541.75</v>
      </c>
      <c r="I9" s="40">
        <v>17043612.300000001</v>
      </c>
    </row>
    <row r="10" spans="5:9" ht="15" customHeight="1" x14ac:dyDescent="0.25">
      <c r="E10" s="40"/>
      <c r="F10" s="40"/>
      <c r="G10" s="40"/>
      <c r="H10" s="40"/>
      <c r="I10" s="40"/>
    </row>
    <row r="11" spans="5:9" ht="15" customHeight="1" x14ac:dyDescent="0.25">
      <c r="E11" s="40">
        <f>SUM(E8:E10)</f>
        <v>2355501.3600000003</v>
      </c>
      <c r="F11" s="40">
        <f>SUM(F8:F10)</f>
        <v>8871467.2599999998</v>
      </c>
      <c r="G11" s="40">
        <f>SUM(G8:G10)</f>
        <v>25457547.149999999</v>
      </c>
      <c r="H11" s="40">
        <f>SUM(H8:H10)</f>
        <v>19895044.07</v>
      </c>
      <c r="I11" s="40">
        <f>SUM(I8:I10)</f>
        <v>21384560.130000003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Flujo Completo Reprogramado</vt:lpstr>
      <vt:lpstr>Resumen</vt:lpstr>
      <vt:lpstr>Comparación Mensual</vt:lpstr>
      <vt:lpstr>Reprogramación</vt:lpstr>
      <vt:lpstr>Detalle Presupuesto x Categoría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ernesto Alvarez</cp:lastModifiedBy>
  <cp:revision>0</cp:revision>
  <dcterms:created xsi:type="dcterms:W3CDTF">2026-07-12T15:54:59Z</dcterms:created>
  <dcterms:modified xsi:type="dcterms:W3CDTF">2026-08-14T13:31:28Z</dcterms:modified>
  <dc:language>en-US</dc:language>
</cp:coreProperties>
</file>
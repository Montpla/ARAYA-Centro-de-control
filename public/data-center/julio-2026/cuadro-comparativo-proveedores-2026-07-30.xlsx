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bak-my.sharepoint.com/personal/f_celis_grupobak_com/Documents/Documents/ARAYA 28-04-2026/COTIZACIONES  PROYECTO ARAYA_PUNTA CANA EDIFICACIONES/Cuadros Comparativos 23-01-2026/COTIZACIONES REVISADAS/RESUMENES/ARAYA PROVEEDORES/"/>
    </mc:Choice>
  </mc:AlternateContent>
  <xr:revisionPtr revIDLastSave="2611" documentId="13_ncr:1_{B80D5004-E717-4677-B340-850A4AF26DDA}" xr6:coauthVersionLast="47" xr6:coauthVersionMax="47" xr10:uidLastSave="{C9E141D2-3CCC-40F7-9BD2-10446B4CA622}"/>
  <bookViews>
    <workbookView xWindow="-120" yWindow="-120" windowWidth="29040" windowHeight="15720" firstSheet="4" activeTab="11" xr2:uid="{61855B09-CC8D-0849-B1B9-79C7DB4EA0F1}"/>
  </bookViews>
  <sheets>
    <sheet name="FLUJO PROVEEDORES " sheetId="27" r:id="rId1"/>
    <sheet name="CLOSETS" sheetId="19" r:id="rId2"/>
    <sheet name=" COCINAS" sheetId="18" r:id="rId3"/>
    <sheet name="PUERTAS" sheetId="17" r:id="rId4"/>
    <sheet name="LAVAMANO-LAVADERO" sheetId="20" r:id="rId5"/>
    <sheet name="SPC FOORING" sheetId="25" r:id="rId6"/>
    <sheet name="BARANDAS Y PERGOLAS" sheetId="26" r:id="rId7"/>
    <sheet name="VIDRIO-ALUMINIO" sheetId="15" r:id="rId8"/>
    <sheet name="TABLILLA" sheetId="22" r:id="rId9"/>
    <sheet name="BANOS" sheetId="21" r:id="rId10"/>
    <sheet name="GRIFERIAS" sheetId="5" r:id="rId11"/>
    <sheet name="S FOTOVOLTAICO" sheetId="23" r:id="rId12"/>
  </sheets>
  <definedNames>
    <definedName name="Calificación">#REF!</definedName>
    <definedName name="Garantía">#REF!</definedName>
    <definedName name="Marca">#REF!</definedName>
    <definedName name="Sopor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1" l="1"/>
  <c r="I10" i="21"/>
  <c r="M10" i="26"/>
  <c r="M9" i="26"/>
  <c r="M11" i="26"/>
  <c r="P26" i="15" l="1"/>
  <c r="R24" i="15" l="1"/>
  <c r="R26" i="15" s="1"/>
  <c r="N39" i="23"/>
  <c r="P25" i="23"/>
  <c r="N25" i="23"/>
  <c r="L25" i="23"/>
  <c r="J25" i="23"/>
  <c r="M33" i="23"/>
  <c r="M26" i="23"/>
  <c r="N34" i="23"/>
  <c r="N32" i="23"/>
  <c r="M29" i="23"/>
  <c r="N30" i="23" s="1"/>
  <c r="N24" i="23"/>
  <c r="M22" i="23"/>
  <c r="N23" i="23" s="1"/>
  <c r="N20" i="23"/>
  <c r="M21" i="23" s="1"/>
  <c r="N15" i="23"/>
  <c r="M16" i="23"/>
  <c r="M17" i="23"/>
  <c r="N9" i="23"/>
  <c r="L9" i="23"/>
  <c r="R123" i="27"/>
  <c r="V123" i="27" s="1"/>
  <c r="K122" i="27"/>
  <c r="Q122" i="27" s="1"/>
  <c r="K121" i="27"/>
  <c r="O121" i="27" s="1"/>
  <c r="O119" i="27" s="1"/>
  <c r="I120" i="27"/>
  <c r="K123" i="27" s="1"/>
  <c r="H120" i="27"/>
  <c r="R119" i="27"/>
  <c r="P119" i="27"/>
  <c r="M119" i="27"/>
  <c r="L119" i="27"/>
  <c r="I119" i="27"/>
  <c r="G119" i="27"/>
  <c r="H119" i="27" s="1"/>
  <c r="D119" i="27"/>
  <c r="V118" i="27"/>
  <c r="I116" i="27"/>
  <c r="H116" i="27"/>
  <c r="S115" i="27"/>
  <c r="V115" i="27" s="1"/>
  <c r="K114" i="27"/>
  <c r="R114" i="27" s="1"/>
  <c r="V114" i="27" s="1"/>
  <c r="I113" i="27"/>
  <c r="K115" i="27" s="1"/>
  <c r="H113" i="27"/>
  <c r="H110" i="27"/>
  <c r="H107" i="27"/>
  <c r="L106" i="27"/>
  <c r="H106" i="27"/>
  <c r="G106" i="27"/>
  <c r="D106" i="27"/>
  <c r="C106" i="27"/>
  <c r="I105" i="27"/>
  <c r="I104" i="27"/>
  <c r="K105" i="27" s="1"/>
  <c r="R105" i="27" s="1"/>
  <c r="H104" i="27"/>
  <c r="I103" i="27"/>
  <c r="H102" i="27"/>
  <c r="H100" i="27"/>
  <c r="I99" i="27"/>
  <c r="H98" i="27"/>
  <c r="H96" i="27"/>
  <c r="U95" i="27"/>
  <c r="T95" i="27"/>
  <c r="S95" i="27"/>
  <c r="L95" i="27"/>
  <c r="G95" i="27"/>
  <c r="H95" i="27" s="1"/>
  <c r="C95" i="27"/>
  <c r="D95" i="27" s="1"/>
  <c r="K94" i="27"/>
  <c r="R94" i="27" s="1"/>
  <c r="I94" i="27"/>
  <c r="K93" i="27"/>
  <c r="Q93" i="27" s="1"/>
  <c r="K92" i="27"/>
  <c r="P92" i="27" s="1"/>
  <c r="V92" i="27" s="1"/>
  <c r="I91" i="27"/>
  <c r="N90" i="27"/>
  <c r="V90" i="27" s="1"/>
  <c r="K90" i="27"/>
  <c r="I89" i="27"/>
  <c r="K89" i="27" s="1"/>
  <c r="M89" i="27" s="1"/>
  <c r="V89" i="27" s="1"/>
  <c r="H89" i="27"/>
  <c r="I88" i="27"/>
  <c r="I85" i="27" s="1"/>
  <c r="I87" i="27"/>
  <c r="I86" i="27"/>
  <c r="H86" i="27"/>
  <c r="U85" i="27"/>
  <c r="T85" i="27"/>
  <c r="S85" i="27"/>
  <c r="G85" i="27"/>
  <c r="H85" i="27" s="1"/>
  <c r="D85" i="27"/>
  <c r="I81" i="27"/>
  <c r="I80" i="27"/>
  <c r="I79" i="27"/>
  <c r="H79" i="27"/>
  <c r="U78" i="27"/>
  <c r="T78" i="27"/>
  <c r="N78" i="27"/>
  <c r="M78" i="27"/>
  <c r="G78" i="27"/>
  <c r="H78" i="27" s="1"/>
  <c r="D78" i="27"/>
  <c r="H71" i="27"/>
  <c r="H64" i="27"/>
  <c r="U63" i="27"/>
  <c r="T63" i="27"/>
  <c r="G63" i="27"/>
  <c r="H63" i="27" s="1"/>
  <c r="C63" i="27"/>
  <c r="K62" i="27"/>
  <c r="S62" i="27" s="1"/>
  <c r="S50" i="27" s="1"/>
  <c r="I62" i="27"/>
  <c r="K61" i="27"/>
  <c r="R61" i="27" s="1"/>
  <c r="V61" i="27" s="1"/>
  <c r="V60" i="27"/>
  <c r="Q60" i="27"/>
  <c r="K60" i="27"/>
  <c r="P59" i="27"/>
  <c r="V59" i="27" s="1"/>
  <c r="J58" i="27"/>
  <c r="K58" i="27" s="1"/>
  <c r="O58" i="27" s="1"/>
  <c r="I58" i="27"/>
  <c r="I57" i="27"/>
  <c r="K59" i="27" s="1"/>
  <c r="H57" i="27"/>
  <c r="P55" i="27"/>
  <c r="P50" i="27" s="1"/>
  <c r="K54" i="27"/>
  <c r="O54" i="27" s="1"/>
  <c r="V54" i="27" s="1"/>
  <c r="K53" i="27"/>
  <c r="N53" i="27" s="1"/>
  <c r="V53" i="27" s="1"/>
  <c r="K51" i="27"/>
  <c r="I51" i="27"/>
  <c r="K55" i="27" s="1"/>
  <c r="H51" i="27"/>
  <c r="U50" i="27"/>
  <c r="T50" i="27"/>
  <c r="I50" i="27"/>
  <c r="H50" i="27"/>
  <c r="G50" i="27"/>
  <c r="D50" i="27"/>
  <c r="I49" i="27"/>
  <c r="K49" i="27" s="1"/>
  <c r="P49" i="27" s="1"/>
  <c r="P45" i="27" s="1"/>
  <c r="H49" i="27"/>
  <c r="K48" i="27"/>
  <c r="O48" i="27" s="1"/>
  <c r="O45" i="27" s="1"/>
  <c r="I48" i="27"/>
  <c r="H48" i="27"/>
  <c r="K47" i="27"/>
  <c r="N47" i="27" s="1"/>
  <c r="I47" i="27"/>
  <c r="I45" i="27" s="1"/>
  <c r="H47" i="27"/>
  <c r="I46" i="27"/>
  <c r="K46" i="27" s="1"/>
  <c r="K45" i="27" s="1"/>
  <c r="H46" i="27"/>
  <c r="T45" i="27"/>
  <c r="S45" i="27"/>
  <c r="R45" i="27"/>
  <c r="Q45" i="27"/>
  <c r="L45" i="27"/>
  <c r="H45" i="27"/>
  <c r="G45" i="27"/>
  <c r="D45" i="27"/>
  <c r="K44" i="27"/>
  <c r="N44" i="27" s="1"/>
  <c r="I44" i="27"/>
  <c r="H44" i="27"/>
  <c r="V43" i="27"/>
  <c r="I43" i="27"/>
  <c r="K43" i="27" s="1"/>
  <c r="M43" i="27" s="1"/>
  <c r="H43" i="27"/>
  <c r="T42" i="27"/>
  <c r="S42" i="27"/>
  <c r="R42" i="27"/>
  <c r="Q42" i="27"/>
  <c r="P42" i="27"/>
  <c r="O42" i="27"/>
  <c r="M42" i="27"/>
  <c r="L42" i="27"/>
  <c r="K42" i="27"/>
  <c r="I42" i="27"/>
  <c r="H42" i="27"/>
  <c r="G42" i="27"/>
  <c r="D42" i="27"/>
  <c r="H41" i="27"/>
  <c r="H40" i="27"/>
  <c r="H39" i="27"/>
  <c r="H38" i="27"/>
  <c r="H37" i="27"/>
  <c r="U36" i="27"/>
  <c r="T36" i="27"/>
  <c r="S36" i="27"/>
  <c r="R36" i="27"/>
  <c r="L36" i="27"/>
  <c r="G36" i="27"/>
  <c r="H36" i="27" s="1"/>
  <c r="C36" i="27"/>
  <c r="I37" i="27" s="1"/>
  <c r="H35" i="27"/>
  <c r="H34" i="27"/>
  <c r="U33" i="27"/>
  <c r="T33" i="27"/>
  <c r="S33" i="27"/>
  <c r="R33" i="27"/>
  <c r="Q33" i="27"/>
  <c r="P33" i="27"/>
  <c r="O33" i="27"/>
  <c r="M33" i="27"/>
  <c r="H33" i="27"/>
  <c r="G33" i="27"/>
  <c r="C33" i="27"/>
  <c r="D33" i="27" s="1"/>
  <c r="K32" i="27"/>
  <c r="Q32" i="27" s="1"/>
  <c r="V32" i="27" s="1"/>
  <c r="I32" i="27"/>
  <c r="H32" i="27"/>
  <c r="P31" i="27"/>
  <c r="V31" i="27" s="1"/>
  <c r="K31" i="27"/>
  <c r="I31" i="27"/>
  <c r="H31" i="27"/>
  <c r="O30" i="27"/>
  <c r="O27" i="27" s="1"/>
  <c r="K30" i="27"/>
  <c r="I30" i="27"/>
  <c r="H30" i="27"/>
  <c r="I29" i="27"/>
  <c r="K29" i="27" s="1"/>
  <c r="N29" i="27" s="1"/>
  <c r="N27" i="27" s="1"/>
  <c r="H29" i="27"/>
  <c r="K28" i="27"/>
  <c r="M28" i="27" s="1"/>
  <c r="M27" i="27" s="1"/>
  <c r="I28" i="27"/>
  <c r="H28" i="27"/>
  <c r="U27" i="27"/>
  <c r="T27" i="27"/>
  <c r="S27" i="27"/>
  <c r="R27" i="27"/>
  <c r="P27" i="27"/>
  <c r="L27" i="27"/>
  <c r="G27" i="27"/>
  <c r="H27" i="27" s="1"/>
  <c r="D27" i="27"/>
  <c r="K26" i="27"/>
  <c r="Q26" i="27" s="1"/>
  <c r="I26" i="27"/>
  <c r="H26" i="27"/>
  <c r="V25" i="27"/>
  <c r="P25" i="27"/>
  <c r="P21" i="27" s="1"/>
  <c r="K25" i="27"/>
  <c r="I25" i="27"/>
  <c r="H25" i="27"/>
  <c r="V24" i="27"/>
  <c r="O24" i="27"/>
  <c r="O21" i="27" s="1"/>
  <c r="I24" i="27"/>
  <c r="K24" i="27" s="1"/>
  <c r="H24" i="27"/>
  <c r="I23" i="27"/>
  <c r="K23" i="27" s="1"/>
  <c r="N23" i="27" s="1"/>
  <c r="H23" i="27"/>
  <c r="K22" i="27"/>
  <c r="I22" i="27"/>
  <c r="H22" i="27"/>
  <c r="U21" i="27"/>
  <c r="T21" i="27"/>
  <c r="S21" i="27"/>
  <c r="R21" i="27"/>
  <c r="L21" i="27"/>
  <c r="H21" i="27"/>
  <c r="G21" i="27"/>
  <c r="D21" i="27"/>
  <c r="I18" i="27"/>
  <c r="H17" i="27"/>
  <c r="H13" i="27"/>
  <c r="C12" i="27"/>
  <c r="C11" i="27"/>
  <c r="U7" i="27"/>
  <c r="T7" i="27"/>
  <c r="S7" i="27"/>
  <c r="R7" i="27"/>
  <c r="H7" i="27"/>
  <c r="G7" i="27"/>
  <c r="C7" i="27"/>
  <c r="I13" i="27" s="1"/>
  <c r="N37" i="23" l="1"/>
  <c r="K13" i="27"/>
  <c r="K16" i="27"/>
  <c r="O16" i="27" s="1"/>
  <c r="K14" i="27"/>
  <c r="M14" i="27" s="1"/>
  <c r="K15" i="27"/>
  <c r="N15" i="27" s="1"/>
  <c r="V44" i="27"/>
  <c r="N42" i="27"/>
  <c r="V42" i="27" s="1"/>
  <c r="V23" i="27"/>
  <c r="N21" i="27"/>
  <c r="K37" i="27"/>
  <c r="V58" i="27"/>
  <c r="O50" i="27"/>
  <c r="V94" i="27"/>
  <c r="R85" i="27"/>
  <c r="V26" i="27"/>
  <c r="Q21" i="27"/>
  <c r="V28" i="27"/>
  <c r="D36" i="27"/>
  <c r="K81" i="27"/>
  <c r="P81" i="27" s="1"/>
  <c r="K84" i="27"/>
  <c r="S84" i="27" s="1"/>
  <c r="S78" i="27" s="1"/>
  <c r="I78" i="27"/>
  <c r="K79" i="27"/>
  <c r="V30" i="27"/>
  <c r="V121" i="27"/>
  <c r="K80" i="27"/>
  <c r="O80" i="27" s="1"/>
  <c r="I41" i="27"/>
  <c r="K41" i="27" s="1"/>
  <c r="Q41" i="27" s="1"/>
  <c r="L51" i="27"/>
  <c r="I21" i="27"/>
  <c r="V29" i="27"/>
  <c r="V49" i="27"/>
  <c r="R50" i="27"/>
  <c r="I64" i="27"/>
  <c r="I71" i="27"/>
  <c r="D63" i="27"/>
  <c r="K87" i="27"/>
  <c r="M87" i="27" s="1"/>
  <c r="K88" i="27"/>
  <c r="N88" i="27" s="1"/>
  <c r="K86" i="27"/>
  <c r="K117" i="27"/>
  <c r="T117" i="27" s="1"/>
  <c r="K118" i="27"/>
  <c r="U118" i="27" s="1"/>
  <c r="U106" i="27" s="1"/>
  <c r="U126" i="27" s="1"/>
  <c r="I40" i="27"/>
  <c r="K40" i="27" s="1"/>
  <c r="P40" i="27" s="1"/>
  <c r="I102" i="27"/>
  <c r="I96" i="27"/>
  <c r="I100" i="27"/>
  <c r="I98" i="27"/>
  <c r="K104" i="27"/>
  <c r="Q104" i="27" s="1"/>
  <c r="V104" i="27" s="1"/>
  <c r="V47" i="27"/>
  <c r="N45" i="27"/>
  <c r="K82" i="27"/>
  <c r="Q82" i="27" s="1"/>
  <c r="K116" i="27"/>
  <c r="S116" i="27" s="1"/>
  <c r="V116" i="27" s="1"/>
  <c r="Q27" i="27"/>
  <c r="M46" i="27"/>
  <c r="V55" i="27"/>
  <c r="Q119" i="27"/>
  <c r="V122" i="27"/>
  <c r="V62" i="27"/>
  <c r="K27" i="27"/>
  <c r="V27" i="27"/>
  <c r="P85" i="27"/>
  <c r="I110" i="27"/>
  <c r="I107" i="27"/>
  <c r="I101" i="27"/>
  <c r="K113" i="27"/>
  <c r="Q113" i="27" s="1"/>
  <c r="V113" i="27" s="1"/>
  <c r="K21" i="27"/>
  <c r="I39" i="27"/>
  <c r="K39" i="27" s="1"/>
  <c r="O39" i="27" s="1"/>
  <c r="I38" i="27"/>
  <c r="K38" i="27" s="1"/>
  <c r="N38" i="27" s="1"/>
  <c r="M22" i="27"/>
  <c r="I35" i="27"/>
  <c r="K35" i="27" s="1"/>
  <c r="N35" i="27" s="1"/>
  <c r="I34" i="27"/>
  <c r="V48" i="27"/>
  <c r="S106" i="27"/>
  <c r="V105" i="27"/>
  <c r="R95" i="27"/>
  <c r="I19" i="27"/>
  <c r="I17" i="27"/>
  <c r="I7" i="27" s="1"/>
  <c r="D7" i="27"/>
  <c r="D126" i="27" s="1"/>
  <c r="I27" i="27"/>
  <c r="K83" i="27"/>
  <c r="R83" i="27" s="1"/>
  <c r="V93" i="27"/>
  <c r="Q85" i="27"/>
  <c r="R106" i="27"/>
  <c r="K56" i="27"/>
  <c r="Q56" i="27" s="1"/>
  <c r="K124" i="27"/>
  <c r="S124" i="27" s="1"/>
  <c r="K125" i="27"/>
  <c r="T125" i="27" s="1"/>
  <c r="K52" i="27"/>
  <c r="M52" i="27" s="1"/>
  <c r="K91" i="27"/>
  <c r="O91" i="27" s="1"/>
  <c r="K120" i="27"/>
  <c r="K57" i="27"/>
  <c r="N57" i="27" s="1"/>
  <c r="N120" i="27" l="1"/>
  <c r="K119" i="27"/>
  <c r="R78" i="27"/>
  <c r="V83" i="27"/>
  <c r="V15" i="27"/>
  <c r="N7" i="27"/>
  <c r="V35" i="27"/>
  <c r="N33" i="27"/>
  <c r="K110" i="27"/>
  <c r="O110" i="27" s="1"/>
  <c r="V110" i="27" s="1"/>
  <c r="K112" i="27"/>
  <c r="Q112" i="27" s="1"/>
  <c r="K111" i="27"/>
  <c r="P111" i="27" s="1"/>
  <c r="K98" i="27"/>
  <c r="N98" i="27" s="1"/>
  <c r="V98" i="27" s="1"/>
  <c r="K99" i="27"/>
  <c r="O99" i="27" s="1"/>
  <c r="N85" i="27"/>
  <c r="V88" i="27"/>
  <c r="V14" i="27"/>
  <c r="M7" i="27"/>
  <c r="O85" i="27"/>
  <c r="V91" i="27"/>
  <c r="K108" i="27"/>
  <c r="N108" i="27" s="1"/>
  <c r="K109" i="27"/>
  <c r="O109" i="27" s="1"/>
  <c r="K107" i="27"/>
  <c r="I106" i="27"/>
  <c r="T106" i="27"/>
  <c r="V117" i="27"/>
  <c r="K78" i="27"/>
  <c r="L79" i="27"/>
  <c r="M50" i="27"/>
  <c r="V52" i="27"/>
  <c r="K100" i="27"/>
  <c r="O100" i="27" s="1"/>
  <c r="V100" i="27" s="1"/>
  <c r="K101" i="27"/>
  <c r="P101" i="27" s="1"/>
  <c r="L50" i="27"/>
  <c r="V51" i="27"/>
  <c r="V56" i="27"/>
  <c r="Q50" i="27"/>
  <c r="V38" i="27"/>
  <c r="N36" i="27"/>
  <c r="I95" i="27"/>
  <c r="K96" i="27"/>
  <c r="K97" i="27"/>
  <c r="N97" i="27" s="1"/>
  <c r="Q36" i="27"/>
  <c r="V41" i="27"/>
  <c r="K50" i="27"/>
  <c r="I36" i="27"/>
  <c r="I126" i="27" s="1"/>
  <c r="V16" i="27"/>
  <c r="I33" i="27"/>
  <c r="K34" i="27"/>
  <c r="L86" i="27"/>
  <c r="K85" i="27"/>
  <c r="V125" i="27"/>
  <c r="T119" i="27"/>
  <c r="V124" i="27"/>
  <c r="S119" i="27"/>
  <c r="V22" i="27"/>
  <c r="M21" i="27"/>
  <c r="V21" i="27" s="1"/>
  <c r="M85" i="27"/>
  <c r="V87" i="27"/>
  <c r="V39" i="27"/>
  <c r="O36" i="27"/>
  <c r="K103" i="27"/>
  <c r="Q103" i="27" s="1"/>
  <c r="K102" i="27"/>
  <c r="P102" i="27" s="1"/>
  <c r="V102" i="27" s="1"/>
  <c r="K74" i="27"/>
  <c r="P74" i="27" s="1"/>
  <c r="V74" i="27" s="1"/>
  <c r="K71" i="27"/>
  <c r="M71" i="27" s="1"/>
  <c r="V71" i="27" s="1"/>
  <c r="K76" i="27"/>
  <c r="R76" i="27" s="1"/>
  <c r="V76" i="27" s="1"/>
  <c r="K75" i="27"/>
  <c r="Q75" i="27" s="1"/>
  <c r="V75" i="27" s="1"/>
  <c r="K73" i="27"/>
  <c r="O73" i="27" s="1"/>
  <c r="V73" i="27" s="1"/>
  <c r="K72" i="27"/>
  <c r="N72" i="27" s="1"/>
  <c r="V72" i="27" s="1"/>
  <c r="K77" i="27"/>
  <c r="S77" i="27" s="1"/>
  <c r="V80" i="27"/>
  <c r="O78" i="27"/>
  <c r="L13" i="27"/>
  <c r="K17" i="27"/>
  <c r="N17" i="27" s="1"/>
  <c r="V17" i="27" s="1"/>
  <c r="K20" i="27"/>
  <c r="Q20" i="27" s="1"/>
  <c r="K19" i="27"/>
  <c r="P19" i="27" s="1"/>
  <c r="K18" i="27"/>
  <c r="O18" i="27" s="1"/>
  <c r="V18" i="27" s="1"/>
  <c r="V46" i="27"/>
  <c r="M45" i="27"/>
  <c r="V45" i="27" s="1"/>
  <c r="V81" i="27"/>
  <c r="P78" i="27"/>
  <c r="M37" i="27"/>
  <c r="K36" i="27"/>
  <c r="V57" i="27"/>
  <c r="N50" i="27"/>
  <c r="Q78" i="27"/>
  <c r="V82" i="27"/>
  <c r="V40" i="27"/>
  <c r="P36" i="27"/>
  <c r="K64" i="27"/>
  <c r="K69" i="27"/>
  <c r="Q69" i="27" s="1"/>
  <c r="K66" i="27"/>
  <c r="N66" i="27" s="1"/>
  <c r="K65" i="27"/>
  <c r="M65" i="27" s="1"/>
  <c r="K68" i="27"/>
  <c r="P68" i="27" s="1"/>
  <c r="I63" i="27"/>
  <c r="K70" i="27"/>
  <c r="R70" i="27" s="1"/>
  <c r="K67" i="27"/>
  <c r="O67" i="27" s="1"/>
  <c r="M63" i="27" l="1"/>
  <c r="V65" i="27"/>
  <c r="V99" i="27"/>
  <c r="O95" i="27"/>
  <c r="P7" i="27"/>
  <c r="V19" i="27"/>
  <c r="P106" i="27"/>
  <c r="V111" i="27"/>
  <c r="V68" i="27"/>
  <c r="P63" i="27"/>
  <c r="O7" i="27"/>
  <c r="V66" i="27"/>
  <c r="N63" i="27"/>
  <c r="V108" i="27"/>
  <c r="N106" i="27"/>
  <c r="V20" i="27"/>
  <c r="Q7" i="27"/>
  <c r="K63" i="27"/>
  <c r="L64" i="27"/>
  <c r="M36" i="27"/>
  <c r="V36" i="27" s="1"/>
  <c r="V37" i="27"/>
  <c r="V112" i="27"/>
  <c r="Q106" i="27"/>
  <c r="N126" i="27"/>
  <c r="V103" i="27"/>
  <c r="Q95" i="27"/>
  <c r="V109" i="27"/>
  <c r="O106" i="27"/>
  <c r="V13" i="27"/>
  <c r="L7" i="27"/>
  <c r="L85" i="27"/>
  <c r="V85" i="27" s="1"/>
  <c r="V86" i="27"/>
  <c r="V120" i="27"/>
  <c r="N119" i="27"/>
  <c r="V119" i="27" s="1"/>
  <c r="K106" i="27"/>
  <c r="M107" i="27"/>
  <c r="V77" i="27"/>
  <c r="S63" i="27"/>
  <c r="S126" i="27" s="1"/>
  <c r="V79" i="27"/>
  <c r="L78" i="27"/>
  <c r="V78" i="27" s="1"/>
  <c r="V70" i="27"/>
  <c r="R63" i="27"/>
  <c r="R126" i="27" s="1"/>
  <c r="K33" i="27"/>
  <c r="L34" i="27"/>
  <c r="V97" i="27"/>
  <c r="N95" i="27"/>
  <c r="V50" i="27"/>
  <c r="T126" i="27"/>
  <c r="Q63" i="27"/>
  <c r="V69" i="27"/>
  <c r="O63" i="27"/>
  <c r="V67" i="27"/>
  <c r="K7" i="27"/>
  <c r="M96" i="27"/>
  <c r="K95" i="27"/>
  <c r="V101" i="27"/>
  <c r="P95" i="27"/>
  <c r="P126" i="27" l="1"/>
  <c r="M95" i="27"/>
  <c r="V95" i="27" s="1"/>
  <c r="V96" i="27"/>
  <c r="V7" i="27"/>
  <c r="M106" i="27"/>
  <c r="V106" i="27" s="1"/>
  <c r="V107" i="27"/>
  <c r="L63" i="27"/>
  <c r="V63" i="27" s="1"/>
  <c r="V64" i="27"/>
  <c r="O126" i="27"/>
  <c r="L33" i="27"/>
  <c r="V33" i="27" s="1"/>
  <c r="V34" i="27"/>
  <c r="K126" i="27"/>
  <c r="M126" i="27"/>
  <c r="Q126" i="27"/>
  <c r="L126" i="27" l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6" i="27"/>
  <c r="M36" i="21" l="1"/>
  <c r="K36" i="21"/>
  <c r="I36" i="21"/>
  <c r="M34" i="21"/>
  <c r="K34" i="21"/>
  <c r="I34" i="21"/>
  <c r="M26" i="21"/>
  <c r="K26" i="21"/>
  <c r="I26" i="21"/>
  <c r="R35" i="26"/>
  <c r="P35" i="26"/>
  <c r="N35" i="26"/>
  <c r="L35" i="26"/>
  <c r="J35" i="26"/>
  <c r="Q34" i="26"/>
  <c r="O34" i="26"/>
  <c r="M34" i="26"/>
  <c r="K34" i="26"/>
  <c r="I34" i="26"/>
  <c r="R33" i="26"/>
  <c r="P33" i="26"/>
  <c r="N33" i="26"/>
  <c r="L33" i="26"/>
  <c r="J33" i="26"/>
  <c r="I32" i="26"/>
  <c r="R31" i="26"/>
  <c r="P31" i="26"/>
  <c r="N31" i="26"/>
  <c r="L31" i="26"/>
  <c r="J31" i="26"/>
  <c r="K30" i="26"/>
  <c r="M30" i="26"/>
  <c r="O30" i="26"/>
  <c r="Q30" i="26"/>
  <c r="I30" i="26"/>
  <c r="Q24" i="26"/>
  <c r="O24" i="26"/>
  <c r="M24" i="26"/>
  <c r="K24" i="26"/>
  <c r="I24" i="26"/>
  <c r="R23" i="26"/>
  <c r="P23" i="26"/>
  <c r="M9" i="25"/>
  <c r="N4" i="25"/>
  <c r="J22" i="26"/>
  <c r="R22" i="26"/>
  <c r="P22" i="26"/>
  <c r="L22" i="26"/>
  <c r="R21" i="26"/>
  <c r="P21" i="26"/>
  <c r="L21" i="26"/>
  <c r="J21" i="26"/>
  <c r="I20" i="26"/>
  <c r="Q20" i="26"/>
  <c r="O20" i="26"/>
  <c r="K20" i="26"/>
  <c r="J23" i="25"/>
  <c r="N42" i="25"/>
  <c r="M36" i="25"/>
  <c r="N37" i="25" s="1"/>
  <c r="M32" i="25"/>
  <c r="N33" i="25" s="1"/>
  <c r="N35" i="25"/>
  <c r="M26" i="25"/>
  <c r="N25" i="25"/>
  <c r="N24" i="25"/>
  <c r="M22" i="25"/>
  <c r="M11" i="25"/>
  <c r="M10" i="25"/>
  <c r="P4" i="17"/>
  <c r="Q4" i="17"/>
  <c r="R4" i="17"/>
  <c r="L42" i="19"/>
  <c r="L40" i="19"/>
  <c r="R24" i="19"/>
  <c r="K36" i="19"/>
  <c r="I36" i="19"/>
  <c r="K32" i="19"/>
  <c r="L33" i="19" s="1"/>
  <c r="N33" i="17"/>
  <c r="L37" i="19"/>
  <c r="L35" i="19"/>
  <c r="K26" i="19"/>
  <c r="L10" i="19"/>
  <c r="L9" i="19"/>
  <c r="L15" i="19" s="1"/>
  <c r="L17" i="19" s="1"/>
  <c r="I10" i="26"/>
  <c r="J10" i="26" s="1"/>
  <c r="I9" i="26"/>
  <c r="J9" i="26" s="1"/>
  <c r="I14" i="26"/>
  <c r="I11" i="26"/>
  <c r="J11" i="26" s="1"/>
  <c r="K9" i="26"/>
  <c r="K10" i="26"/>
  <c r="K11" i="26"/>
  <c r="M51" i="26"/>
  <c r="N14" i="21"/>
  <c r="L14" i="21"/>
  <c r="J14" i="21"/>
  <c r="M14" i="21"/>
  <c r="K14" i="21"/>
  <c r="I14" i="21"/>
  <c r="N13" i="21"/>
  <c r="L13" i="21"/>
  <c r="M13" i="21"/>
  <c r="K13" i="21"/>
  <c r="J13" i="21"/>
  <c r="F13" i="21"/>
  <c r="I13" i="21"/>
  <c r="M10" i="21"/>
  <c r="J10" i="21"/>
  <c r="N9" i="21"/>
  <c r="L9" i="21"/>
  <c r="J9" i="21"/>
  <c r="N40" i="25" l="1"/>
  <c r="J13" i="26"/>
  <c r="I15" i="26" s="1"/>
  <c r="O27" i="15"/>
  <c r="F76" i="26" l="1"/>
  <c r="Q53" i="26"/>
  <c r="O53" i="26"/>
  <c r="K53" i="26"/>
  <c r="O16" i="26"/>
  <c r="O14" i="26"/>
  <c r="M14" i="26"/>
  <c r="K14" i="26"/>
  <c r="R11" i="26"/>
  <c r="P11" i="26"/>
  <c r="N11" i="26"/>
  <c r="L11" i="26"/>
  <c r="H11" i="26"/>
  <c r="Q10" i="26"/>
  <c r="R10" i="26" s="1"/>
  <c r="O10" i="26"/>
  <c r="P10" i="26" s="1"/>
  <c r="N10" i="26"/>
  <c r="L10" i="26"/>
  <c r="H10" i="26"/>
  <c r="Q9" i="26"/>
  <c r="R9" i="26" s="1"/>
  <c r="O9" i="26"/>
  <c r="P9" i="26" s="1"/>
  <c r="N9" i="26"/>
  <c r="L9" i="26"/>
  <c r="H9" i="26"/>
  <c r="AA1" i="26"/>
  <c r="P13" i="26" l="1"/>
  <c r="R13" i="26"/>
  <c r="R15" i="26" s="1"/>
  <c r="O15" i="26"/>
  <c r="H13" i="26"/>
  <c r="H15" i="26" s="1"/>
  <c r="R18" i="26" s="1"/>
  <c r="Q19" i="26" s="1"/>
  <c r="N13" i="26"/>
  <c r="M15" i="26" s="1"/>
  <c r="L13" i="26"/>
  <c r="K15" i="26" s="1"/>
  <c r="M20" i="26" l="1"/>
  <c r="N21" i="26" s="1"/>
  <c r="N22" i="26"/>
  <c r="P49" i="26"/>
  <c r="P50" i="26" s="1"/>
  <c r="L18" i="26"/>
  <c r="K19" i="26" s="1"/>
  <c r="N18" i="26"/>
  <c r="M19" i="26" s="1"/>
  <c r="K49" i="26"/>
  <c r="K50" i="26" s="1"/>
  <c r="J18" i="26"/>
  <c r="I19" i="26" s="1"/>
  <c r="P18" i="26"/>
  <c r="O19" i="26" s="1"/>
  <c r="K21" i="25"/>
  <c r="N11" i="25"/>
  <c r="N10" i="25"/>
  <c r="M4" i="25"/>
  <c r="N9" i="25"/>
  <c r="O9" i="18"/>
  <c r="M9" i="18"/>
  <c r="M10" i="18"/>
  <c r="I9" i="18"/>
  <c r="K9" i="18"/>
  <c r="K10" i="18"/>
  <c r="Q9" i="18"/>
  <c r="Q10" i="18"/>
  <c r="I9" i="19"/>
  <c r="I10" i="19"/>
  <c r="M9" i="19"/>
  <c r="M10" i="19"/>
  <c r="O9" i="19"/>
  <c r="O10" i="19"/>
  <c r="G10" i="20"/>
  <c r="G9" i="20"/>
  <c r="N23" i="26" l="1"/>
  <c r="N38" i="26" s="1"/>
  <c r="N40" i="26" s="1"/>
  <c r="L23" i="26"/>
  <c r="L38" i="26" s="1"/>
  <c r="L40" i="26" s="1"/>
  <c r="J23" i="26"/>
  <c r="J38" i="26" s="1"/>
  <c r="J40" i="26" s="1"/>
  <c r="R38" i="26"/>
  <c r="R40" i="26" s="1"/>
  <c r="P38" i="26"/>
  <c r="P40" i="26" s="1"/>
  <c r="N15" i="25"/>
  <c r="N17" i="25" s="1"/>
  <c r="N20" i="25" s="1"/>
  <c r="M21" i="25" s="1"/>
  <c r="I11" i="25"/>
  <c r="I10" i="25"/>
  <c r="O52" i="15" l="1"/>
  <c r="P52" i="15" s="1"/>
  <c r="P53" i="15" s="1"/>
  <c r="Q11" i="17"/>
  <c r="Q10" i="17"/>
  <c r="Q9" i="17"/>
  <c r="Q12" i="17"/>
  <c r="F71" i="25" l="1"/>
  <c r="I47" i="25"/>
  <c r="J37" i="25"/>
  <c r="S36" i="25"/>
  <c r="T37" i="25" s="1"/>
  <c r="Q36" i="25"/>
  <c r="R37" i="25" s="1"/>
  <c r="O36" i="25"/>
  <c r="P37" i="25" s="1"/>
  <c r="K36" i="25"/>
  <c r="L37" i="25" s="1"/>
  <c r="I36" i="25"/>
  <c r="T35" i="25"/>
  <c r="R35" i="25"/>
  <c r="P35" i="25"/>
  <c r="L35" i="25"/>
  <c r="J35" i="25"/>
  <c r="T33" i="25"/>
  <c r="S32" i="25"/>
  <c r="Q32" i="25"/>
  <c r="R33" i="25" s="1"/>
  <c r="O32" i="25"/>
  <c r="P33" i="25" s="1"/>
  <c r="K32" i="25"/>
  <c r="L33" i="25" s="1"/>
  <c r="I32" i="25"/>
  <c r="J33" i="25" s="1"/>
  <c r="S26" i="25"/>
  <c r="Q26" i="25"/>
  <c r="O26" i="25"/>
  <c r="K26" i="25"/>
  <c r="I26" i="25"/>
  <c r="O16" i="25"/>
  <c r="I16" i="25"/>
  <c r="Q11" i="25"/>
  <c r="O11" i="25"/>
  <c r="P11" i="25" s="1"/>
  <c r="K11" i="25"/>
  <c r="L11" i="25" s="1"/>
  <c r="J11" i="25"/>
  <c r="F11" i="25"/>
  <c r="T11" i="25" s="1"/>
  <c r="T10" i="25"/>
  <c r="Q10" i="25"/>
  <c r="R10" i="25" s="1"/>
  <c r="O10" i="25"/>
  <c r="P10" i="25" s="1"/>
  <c r="K10" i="25"/>
  <c r="L10" i="25" s="1"/>
  <c r="J10" i="25"/>
  <c r="H10" i="25"/>
  <c r="T9" i="25"/>
  <c r="Q9" i="25"/>
  <c r="R9" i="25" s="1"/>
  <c r="O9" i="25"/>
  <c r="P9" i="25" s="1"/>
  <c r="K9" i="25"/>
  <c r="L9" i="25" s="1"/>
  <c r="I9" i="25"/>
  <c r="J9" i="25" s="1"/>
  <c r="H9" i="25"/>
  <c r="L15" i="25" l="1"/>
  <c r="L17" i="25" s="1"/>
  <c r="J15" i="25"/>
  <c r="I17" i="25" s="1"/>
  <c r="P15" i="25"/>
  <c r="O17" i="25" s="1"/>
  <c r="T15" i="25"/>
  <c r="S17" i="25" s="1"/>
  <c r="H11" i="25"/>
  <c r="H15" i="25" s="1"/>
  <c r="H17" i="25" s="1"/>
  <c r="R11" i="25"/>
  <c r="R15" i="25" s="1"/>
  <c r="R17" i="25" s="1"/>
  <c r="T20" i="25" l="1"/>
  <c r="S21" i="25" s="1"/>
  <c r="L20" i="25"/>
  <c r="J20" i="25"/>
  <c r="I21" i="25" s="1"/>
  <c r="T24" i="25"/>
  <c r="T25" i="25" s="1"/>
  <c r="S22" i="25"/>
  <c r="T23" i="25" s="1"/>
  <c r="O22" i="25"/>
  <c r="P23" i="25" s="1"/>
  <c r="J24" i="25"/>
  <c r="I22" i="25"/>
  <c r="R24" i="25"/>
  <c r="Q22" i="25"/>
  <c r="R23" i="25" s="1"/>
  <c r="P24" i="25"/>
  <c r="L24" i="25"/>
  <c r="K22" i="25"/>
  <c r="R20" i="25"/>
  <c r="Q21" i="25" s="1"/>
  <c r="P20" i="25"/>
  <c r="O21" i="25" s="1"/>
  <c r="P43" i="25"/>
  <c r="P44" i="25" s="1"/>
  <c r="I43" i="25"/>
  <c r="I44" i="25" s="1"/>
  <c r="M9" i="22"/>
  <c r="R25" i="25" l="1"/>
  <c r="J40" i="25"/>
  <c r="J42" i="25" s="1"/>
  <c r="L25" i="25"/>
  <c r="L40" i="25" s="1"/>
  <c r="L42" i="25" s="1"/>
  <c r="T40" i="25"/>
  <c r="T42" i="25" s="1"/>
  <c r="P25" i="25"/>
  <c r="P40" i="25" s="1"/>
  <c r="P42" i="25" s="1"/>
  <c r="R40" i="25"/>
  <c r="R42" i="25" s="1"/>
  <c r="F9" i="22"/>
  <c r="N4" i="22"/>
  <c r="R12" i="17" l="1"/>
  <c r="P12" i="17"/>
  <c r="N12" i="17"/>
  <c r="L12" i="17"/>
  <c r="U12" i="17"/>
  <c r="V12" i="17" s="1"/>
  <c r="S12" i="17"/>
  <c r="T12" i="17" s="1"/>
  <c r="O12" i="17"/>
  <c r="J12" i="17"/>
  <c r="F68" i="23"/>
  <c r="I44" i="23"/>
  <c r="O33" i="23"/>
  <c r="P34" i="23" s="1"/>
  <c r="K33" i="23"/>
  <c r="L34" i="23" s="1"/>
  <c r="I33" i="23"/>
  <c r="J34" i="23" s="1"/>
  <c r="P32" i="23"/>
  <c r="L32" i="23"/>
  <c r="J32" i="23"/>
  <c r="O29" i="23"/>
  <c r="P30" i="23" s="1"/>
  <c r="K29" i="23"/>
  <c r="L30" i="23" s="1"/>
  <c r="I29" i="23"/>
  <c r="J30" i="23" s="1"/>
  <c r="O26" i="23"/>
  <c r="K26" i="23"/>
  <c r="I26" i="23"/>
  <c r="K16" i="23"/>
  <c r="I16" i="23"/>
  <c r="J11" i="23"/>
  <c r="J10" i="23"/>
  <c r="P9" i="23"/>
  <c r="J9" i="23"/>
  <c r="H9" i="23"/>
  <c r="H15" i="23" s="1"/>
  <c r="H17" i="23" s="1"/>
  <c r="W1" i="23"/>
  <c r="J15" i="23" l="1"/>
  <c r="I17" i="23" s="1"/>
  <c r="L15" i="23"/>
  <c r="K17" i="23" s="1"/>
  <c r="K22" i="23" s="1"/>
  <c r="L23" i="23" s="1"/>
  <c r="P15" i="23"/>
  <c r="P17" i="23" s="1"/>
  <c r="O22" i="23" s="1"/>
  <c r="P23" i="23" s="1"/>
  <c r="J24" i="23"/>
  <c r="I22" i="23"/>
  <c r="J23" i="23" s="1"/>
  <c r="L40" i="23"/>
  <c r="L41" i="23" s="1"/>
  <c r="J20" i="23"/>
  <c r="I21" i="23" s="1"/>
  <c r="I40" i="23"/>
  <c r="I41" i="23" s="1"/>
  <c r="P20" i="23"/>
  <c r="O21" i="23" s="1"/>
  <c r="P24" i="23" l="1"/>
  <c r="L20" i="23"/>
  <c r="K21" i="23" s="1"/>
  <c r="L24" i="23"/>
  <c r="J37" i="23" l="1"/>
  <c r="J39" i="23" s="1"/>
  <c r="P37" i="23"/>
  <c r="P39" i="23" s="1"/>
  <c r="L37" i="23"/>
  <c r="L39" i="23" s="1"/>
  <c r="F68" i="22"/>
  <c r="I44" i="22"/>
  <c r="N34" i="22"/>
  <c r="O33" i="22"/>
  <c r="P34" i="22" s="1"/>
  <c r="M33" i="22"/>
  <c r="K33" i="22"/>
  <c r="L34" i="22" s="1"/>
  <c r="I33" i="22"/>
  <c r="J34" i="22" s="1"/>
  <c r="P32" i="22"/>
  <c r="N32" i="22"/>
  <c r="L32" i="22"/>
  <c r="J32" i="22"/>
  <c r="L30" i="22"/>
  <c r="O29" i="22"/>
  <c r="P30" i="22" s="1"/>
  <c r="M29" i="22"/>
  <c r="N30" i="22" s="1"/>
  <c r="K29" i="22"/>
  <c r="I29" i="22"/>
  <c r="J30" i="22" s="1"/>
  <c r="O26" i="22"/>
  <c r="M26" i="22"/>
  <c r="K26" i="22"/>
  <c r="I26" i="22"/>
  <c r="K16" i="22"/>
  <c r="I16" i="22"/>
  <c r="P9" i="22"/>
  <c r="P15" i="22" s="1"/>
  <c r="O17" i="22" s="1"/>
  <c r="N9" i="22"/>
  <c r="N15" i="22" s="1"/>
  <c r="N17" i="22" s="1"/>
  <c r="L9" i="22"/>
  <c r="L15" i="22" s="1"/>
  <c r="K17" i="22" s="1"/>
  <c r="J9" i="22"/>
  <c r="J15" i="22" s="1"/>
  <c r="I17" i="22" s="1"/>
  <c r="H9" i="22"/>
  <c r="H15" i="22" s="1"/>
  <c r="H17" i="22" s="1"/>
  <c r="G9" i="22"/>
  <c r="Y1" i="22"/>
  <c r="P20" i="22" l="1"/>
  <c r="O21" i="22" s="1"/>
  <c r="L24" i="22"/>
  <c r="K22" i="22"/>
  <c r="L23" i="22" s="1"/>
  <c r="L20" i="22"/>
  <c r="K21" i="22" s="1"/>
  <c r="P24" i="22"/>
  <c r="O22" i="22"/>
  <c r="P23" i="22" s="1"/>
  <c r="N24" i="22"/>
  <c r="N25" i="22" s="1"/>
  <c r="M22" i="22"/>
  <c r="N23" i="22" s="1"/>
  <c r="N37" i="22" s="1"/>
  <c r="N39" i="22" s="1"/>
  <c r="N20" i="22"/>
  <c r="M21" i="22" s="1"/>
  <c r="L40" i="22"/>
  <c r="L41" i="22" s="1"/>
  <c r="I40" i="22"/>
  <c r="I41" i="22" s="1"/>
  <c r="J24" i="22"/>
  <c r="I22" i="22"/>
  <c r="J23" i="22" s="1"/>
  <c r="J20" i="22"/>
  <c r="I21" i="22" s="1"/>
  <c r="P25" i="22" l="1"/>
  <c r="P37" i="22" s="1"/>
  <c r="P39" i="22" s="1"/>
  <c r="J25" i="22"/>
  <c r="J37" i="22" s="1"/>
  <c r="J39" i="22" s="1"/>
  <c r="L25" i="22"/>
  <c r="L37" i="22" s="1"/>
  <c r="L39" i="22" s="1"/>
  <c r="K11" i="5" l="1"/>
  <c r="L12" i="21"/>
  <c r="M12" i="21"/>
  <c r="N12" i="21" s="1"/>
  <c r="K12" i="21"/>
  <c r="J12" i="21"/>
  <c r="H12" i="21"/>
  <c r="H14" i="21"/>
  <c r="G13" i="21"/>
  <c r="H13" i="21" s="1"/>
  <c r="F71" i="21"/>
  <c r="I47" i="21"/>
  <c r="N37" i="21"/>
  <c r="L37" i="21"/>
  <c r="J37" i="21"/>
  <c r="N35" i="21"/>
  <c r="L35" i="21"/>
  <c r="J35" i="21"/>
  <c r="M32" i="21"/>
  <c r="N33" i="21" s="1"/>
  <c r="K32" i="21"/>
  <c r="L33" i="21" s="1"/>
  <c r="I32" i="21"/>
  <c r="J33" i="21" s="1"/>
  <c r="M16" i="21"/>
  <c r="I16" i="21"/>
  <c r="L11" i="21"/>
  <c r="H11" i="21"/>
  <c r="N10" i="21"/>
  <c r="N15" i="21" s="1"/>
  <c r="L10" i="21"/>
  <c r="H10" i="21"/>
  <c r="H9" i="21"/>
  <c r="L15" i="21" l="1"/>
  <c r="L17" i="21" s="1"/>
  <c r="M11" i="21"/>
  <c r="N11" i="21" s="1"/>
  <c r="H15" i="21"/>
  <c r="H17" i="21" s="1"/>
  <c r="M17" i="21"/>
  <c r="J11" i="21"/>
  <c r="J15" i="21" s="1"/>
  <c r="I17" i="21" s="1"/>
  <c r="L24" i="21" l="1"/>
  <c r="L20" i="21"/>
  <c r="K21" i="21" s="1"/>
  <c r="N43" i="21"/>
  <c r="N44" i="21" s="1"/>
  <c r="I43" i="21"/>
  <c r="I44" i="21" s="1"/>
  <c r="K22" i="21"/>
  <c r="L23" i="21" s="1"/>
  <c r="N24" i="21"/>
  <c r="M22" i="21"/>
  <c r="N23" i="21" s="1"/>
  <c r="N20" i="21"/>
  <c r="M21" i="21" s="1"/>
  <c r="J20" i="21"/>
  <c r="I21" i="21" s="1"/>
  <c r="J24" i="21"/>
  <c r="I22" i="21"/>
  <c r="J23" i="21" s="1"/>
  <c r="N25" i="21" l="1"/>
  <c r="N40" i="21" s="1"/>
  <c r="N42" i="21" s="1"/>
  <c r="L25" i="21"/>
  <c r="L40" i="21" s="1"/>
  <c r="L42" i="21" s="1"/>
  <c r="J25" i="21"/>
  <c r="J40" i="21" s="1"/>
  <c r="J42" i="21" s="1"/>
  <c r="F71" i="20"/>
  <c r="I47" i="20"/>
  <c r="J37" i="20"/>
  <c r="Q36" i="20"/>
  <c r="R37" i="20" s="1"/>
  <c r="O36" i="20"/>
  <c r="P37" i="20" s="1"/>
  <c r="M36" i="20"/>
  <c r="N37" i="20" s="1"/>
  <c r="K36" i="20"/>
  <c r="L37" i="20" s="1"/>
  <c r="I36" i="20"/>
  <c r="R35" i="20"/>
  <c r="P35" i="20"/>
  <c r="N35" i="20"/>
  <c r="L35" i="20"/>
  <c r="J35" i="20"/>
  <c r="Q32" i="20"/>
  <c r="R33" i="20" s="1"/>
  <c r="O32" i="20"/>
  <c r="P33" i="20" s="1"/>
  <c r="M32" i="20"/>
  <c r="N33" i="20" s="1"/>
  <c r="K32" i="20"/>
  <c r="L33" i="20" s="1"/>
  <c r="I32" i="20"/>
  <c r="J33" i="20" s="1"/>
  <c r="Q26" i="20"/>
  <c r="O26" i="20"/>
  <c r="M26" i="20"/>
  <c r="K26" i="20"/>
  <c r="I26" i="20"/>
  <c r="M16" i="20"/>
  <c r="I16" i="20"/>
  <c r="R10" i="20"/>
  <c r="O10" i="20"/>
  <c r="P10" i="20" s="1"/>
  <c r="N10" i="20"/>
  <c r="M10" i="20"/>
  <c r="K10" i="20"/>
  <c r="L10" i="20" s="1"/>
  <c r="I10" i="20"/>
  <c r="J10" i="20" s="1"/>
  <c r="H10" i="20"/>
  <c r="R9" i="20"/>
  <c r="R15" i="20" s="1"/>
  <c r="Q17" i="20" s="1"/>
  <c r="P9" i="20"/>
  <c r="P15" i="20" s="1"/>
  <c r="P17" i="20" s="1"/>
  <c r="O9" i="20"/>
  <c r="M9" i="20"/>
  <c r="N9" i="20" s="1"/>
  <c r="N15" i="20" s="1"/>
  <c r="M17" i="20" s="1"/>
  <c r="K9" i="20"/>
  <c r="L9" i="20" s="1"/>
  <c r="I9" i="20"/>
  <c r="J9" i="20" s="1"/>
  <c r="H9" i="20"/>
  <c r="H15" i="20" l="1"/>
  <c r="H17" i="20" s="1"/>
  <c r="L15" i="20"/>
  <c r="L17" i="20" s="1"/>
  <c r="J15" i="20"/>
  <c r="I17" i="20" s="1"/>
  <c r="J24" i="20" l="1"/>
  <c r="R24" i="20"/>
  <c r="P20" i="20"/>
  <c r="O21" i="20" s="1"/>
  <c r="Q22" i="20"/>
  <c r="R23" i="20" s="1"/>
  <c r="N24" i="20"/>
  <c r="O22" i="20"/>
  <c r="P23" i="20" s="1"/>
  <c r="R20" i="20"/>
  <c r="Q21" i="20" s="1"/>
  <c r="L24" i="20"/>
  <c r="R25" i="20" s="1"/>
  <c r="L20" i="20"/>
  <c r="K21" i="20" s="1"/>
  <c r="P24" i="20"/>
  <c r="N43" i="20"/>
  <c r="N44" i="20" s="1"/>
  <c r="K22" i="20"/>
  <c r="L23" i="20" s="1"/>
  <c r="M22" i="20"/>
  <c r="N23" i="20" s="1"/>
  <c r="J20" i="20"/>
  <c r="I21" i="20" s="1"/>
  <c r="I22" i="20"/>
  <c r="J23" i="20" s="1"/>
  <c r="I43" i="20"/>
  <c r="I44" i="20" s="1"/>
  <c r="N20" i="20"/>
  <c r="M21" i="20" s="1"/>
  <c r="N25" i="20" l="1"/>
  <c r="L25" i="20"/>
  <c r="P25" i="20"/>
  <c r="J25" i="20"/>
  <c r="N40" i="20"/>
  <c r="N42" i="20" s="1"/>
  <c r="L40" i="20"/>
  <c r="L42" i="20" s="1"/>
  <c r="P40" i="20"/>
  <c r="P42" i="20" s="1"/>
  <c r="J40" i="20"/>
  <c r="J42" i="20" s="1"/>
  <c r="R40" i="20"/>
  <c r="R42" i="20" s="1"/>
  <c r="F71" i="19"/>
  <c r="I47" i="19"/>
  <c r="Q36" i="19"/>
  <c r="R37" i="19" s="1"/>
  <c r="O36" i="19"/>
  <c r="P37" i="19" s="1"/>
  <c r="M36" i="19"/>
  <c r="N37" i="19" s="1"/>
  <c r="J37" i="19"/>
  <c r="R35" i="19"/>
  <c r="P35" i="19"/>
  <c r="N35" i="19"/>
  <c r="J35" i="19"/>
  <c r="Q32" i="19"/>
  <c r="R33" i="19" s="1"/>
  <c r="O32" i="19"/>
  <c r="P33" i="19" s="1"/>
  <c r="M32" i="19"/>
  <c r="N33" i="19" s="1"/>
  <c r="I32" i="19"/>
  <c r="J33" i="19" s="1"/>
  <c r="Q26" i="19"/>
  <c r="O26" i="19"/>
  <c r="M26" i="19"/>
  <c r="I26" i="19"/>
  <c r="O16" i="19"/>
  <c r="I16" i="19"/>
  <c r="Q10" i="19"/>
  <c r="R10" i="19" s="1"/>
  <c r="P10" i="19"/>
  <c r="N10" i="19"/>
  <c r="J10" i="19"/>
  <c r="H10" i="19"/>
  <c r="Q9" i="19"/>
  <c r="R9" i="19" s="1"/>
  <c r="P9" i="19"/>
  <c r="N9" i="19"/>
  <c r="J9" i="19"/>
  <c r="H9" i="19"/>
  <c r="H15" i="19" s="1"/>
  <c r="H17" i="19" s="1"/>
  <c r="L20" i="19" l="1"/>
  <c r="K21" i="19" s="1"/>
  <c r="L24" i="19"/>
  <c r="K22" i="19"/>
  <c r="L23" i="19" s="1"/>
  <c r="P15" i="19"/>
  <c r="O17" i="19" s="1"/>
  <c r="P20" i="19" s="1"/>
  <c r="O21" i="19" s="1"/>
  <c r="N15" i="19"/>
  <c r="N17" i="19" s="1"/>
  <c r="R15" i="19"/>
  <c r="R17" i="19" s="1"/>
  <c r="I43" i="19"/>
  <c r="I44" i="19" s="1"/>
  <c r="P43" i="19"/>
  <c r="P44" i="19" s="1"/>
  <c r="J15" i="19"/>
  <c r="I17" i="19" s="1"/>
  <c r="I22" i="19" s="1"/>
  <c r="O22" i="19" l="1"/>
  <c r="P23" i="19" s="1"/>
  <c r="P24" i="19"/>
  <c r="Q22" i="19"/>
  <c r="R23" i="19" s="1"/>
  <c r="R20" i="19"/>
  <c r="Q21" i="19" s="1"/>
  <c r="J20" i="19"/>
  <c r="I21" i="19" s="1"/>
  <c r="N20" i="19"/>
  <c r="M21" i="19" s="1"/>
  <c r="M22" i="19"/>
  <c r="N23" i="19" s="1"/>
  <c r="N24" i="19"/>
  <c r="J23" i="19"/>
  <c r="J24" i="19"/>
  <c r="R40" i="19" l="1"/>
  <c r="R42" i="19" s="1"/>
  <c r="P40" i="19"/>
  <c r="P42" i="19" s="1"/>
  <c r="J40" i="19"/>
  <c r="J42" i="19" s="1"/>
  <c r="N40" i="19"/>
  <c r="N42" i="19" s="1"/>
  <c r="F71" i="18" l="1"/>
  <c r="I47" i="18"/>
  <c r="Q36" i="18"/>
  <c r="R37" i="18" s="1"/>
  <c r="O36" i="18"/>
  <c r="P37" i="18" s="1"/>
  <c r="M36" i="18"/>
  <c r="N37" i="18" s="1"/>
  <c r="K36" i="18"/>
  <c r="L37" i="18" s="1"/>
  <c r="I36" i="18"/>
  <c r="J37" i="18" s="1"/>
  <c r="R35" i="18"/>
  <c r="P35" i="18"/>
  <c r="N35" i="18"/>
  <c r="L35" i="18"/>
  <c r="J35" i="18"/>
  <c r="R33" i="18"/>
  <c r="J33" i="18"/>
  <c r="Q32" i="18"/>
  <c r="O32" i="18"/>
  <c r="P33" i="18" s="1"/>
  <c r="M32" i="18"/>
  <c r="N33" i="18" s="1"/>
  <c r="K32" i="18"/>
  <c r="L33" i="18" s="1"/>
  <c r="I32" i="18"/>
  <c r="Q26" i="18"/>
  <c r="O26" i="18"/>
  <c r="M26" i="18"/>
  <c r="K26" i="18"/>
  <c r="I26" i="18"/>
  <c r="M16" i="18"/>
  <c r="I16" i="18"/>
  <c r="O13" i="18"/>
  <c r="M13" i="18"/>
  <c r="R10" i="18"/>
  <c r="N10" i="18"/>
  <c r="L10" i="18"/>
  <c r="H10" i="18"/>
  <c r="H15" i="18" s="1"/>
  <c r="H17" i="18" s="1"/>
  <c r="Q13" i="18"/>
  <c r="P9" i="18"/>
  <c r="P15" i="18" s="1"/>
  <c r="P17" i="18" s="1"/>
  <c r="N9" i="18"/>
  <c r="K13" i="18"/>
  <c r="J9" i="18"/>
  <c r="J15" i="18" s="1"/>
  <c r="I17" i="18" s="1"/>
  <c r="H9" i="18"/>
  <c r="R4" i="18"/>
  <c r="Q4" i="18"/>
  <c r="P4" i="18"/>
  <c r="N15" i="18" l="1"/>
  <c r="P20" i="18"/>
  <c r="O21" i="18" s="1"/>
  <c r="I22" i="18"/>
  <c r="J23" i="18" s="1"/>
  <c r="O22" i="18"/>
  <c r="P23" i="18" s="1"/>
  <c r="J24" i="18"/>
  <c r="J20" i="18"/>
  <c r="I21" i="18" s="1"/>
  <c r="N43" i="18"/>
  <c r="N44" i="18" s="1"/>
  <c r="P24" i="18"/>
  <c r="I43" i="18"/>
  <c r="I44" i="18" s="1"/>
  <c r="R9" i="18"/>
  <c r="R15" i="18" s="1"/>
  <c r="Q17" i="18" s="1"/>
  <c r="R20" i="18" s="1"/>
  <c r="Q21" i="18" s="1"/>
  <c r="I13" i="18"/>
  <c r="L9" i="18"/>
  <c r="L15" i="18" s="1"/>
  <c r="L17" i="18" s="1"/>
  <c r="K22" i="18" s="1"/>
  <c r="L23" i="18" s="1"/>
  <c r="Q22" i="18" l="1"/>
  <c r="R23" i="18" s="1"/>
  <c r="L20" i="18"/>
  <c r="K21" i="18" s="1"/>
  <c r="L24" i="18"/>
  <c r="M17" i="18"/>
  <c r="R24" i="18"/>
  <c r="M22" i="18" l="1"/>
  <c r="N23" i="18" s="1"/>
  <c r="N20" i="18"/>
  <c r="M21" i="18" s="1"/>
  <c r="N24" i="18"/>
  <c r="F71" i="17"/>
  <c r="I47" i="17"/>
  <c r="R37" i="17"/>
  <c r="P37" i="17"/>
  <c r="L37" i="17"/>
  <c r="U36" i="17"/>
  <c r="V37" i="17" s="1"/>
  <c r="S36" i="17"/>
  <c r="T37" i="17" s="1"/>
  <c r="Q36" i="17"/>
  <c r="O36" i="17"/>
  <c r="M36" i="17"/>
  <c r="N37" i="17" s="1"/>
  <c r="K36" i="17"/>
  <c r="I36" i="17"/>
  <c r="J37" i="17" s="1"/>
  <c r="V35" i="17"/>
  <c r="T35" i="17"/>
  <c r="R35" i="17"/>
  <c r="P35" i="17"/>
  <c r="N35" i="17"/>
  <c r="L35" i="17"/>
  <c r="J35" i="17"/>
  <c r="V33" i="17"/>
  <c r="R33" i="17"/>
  <c r="L33" i="17"/>
  <c r="J33" i="17"/>
  <c r="U32" i="17"/>
  <c r="S32" i="17"/>
  <c r="T33" i="17" s="1"/>
  <c r="Q32" i="17"/>
  <c r="O32" i="17"/>
  <c r="P33" i="17" s="1"/>
  <c r="M32" i="17"/>
  <c r="K32" i="17"/>
  <c r="I32" i="17"/>
  <c r="U26" i="17"/>
  <c r="S26" i="17"/>
  <c r="Q26" i="17"/>
  <c r="O26" i="17"/>
  <c r="M26" i="17"/>
  <c r="K26" i="17"/>
  <c r="I26" i="17"/>
  <c r="M16" i="17"/>
  <c r="I16" i="17"/>
  <c r="V11" i="17"/>
  <c r="U11" i="17"/>
  <c r="S11" i="17"/>
  <c r="T11" i="17" s="1"/>
  <c r="R11" i="17"/>
  <c r="N11" i="17"/>
  <c r="K11" i="17"/>
  <c r="L11" i="17" s="1"/>
  <c r="J11" i="17"/>
  <c r="I11" i="17"/>
  <c r="H11" i="17"/>
  <c r="V10" i="17"/>
  <c r="U10" i="17"/>
  <c r="T10" i="17"/>
  <c r="S10" i="17"/>
  <c r="R10" i="17"/>
  <c r="O10" i="17"/>
  <c r="P10" i="17" s="1"/>
  <c r="N10" i="17"/>
  <c r="K10" i="17"/>
  <c r="L10" i="17" s="1"/>
  <c r="I10" i="17"/>
  <c r="J10" i="17" s="1"/>
  <c r="H10" i="17"/>
  <c r="U9" i="17"/>
  <c r="V9" i="17" s="1"/>
  <c r="V15" i="17" s="1"/>
  <c r="U17" i="17" s="1"/>
  <c r="T9" i="17"/>
  <c r="S9" i="17"/>
  <c r="R9" i="17"/>
  <c r="N9" i="17"/>
  <c r="N15" i="17" s="1"/>
  <c r="K9" i="17"/>
  <c r="L9" i="17" s="1"/>
  <c r="I9" i="17"/>
  <c r="J9" i="17" s="1"/>
  <c r="J15" i="17" s="1"/>
  <c r="I17" i="17" s="1"/>
  <c r="H9" i="17"/>
  <c r="H15" i="17" s="1"/>
  <c r="H17" i="17" s="1"/>
  <c r="O9" i="17"/>
  <c r="P9" i="17" s="1"/>
  <c r="O11" i="17"/>
  <c r="P11" i="17" s="1"/>
  <c r="M17" i="17" l="1"/>
  <c r="L25" i="18"/>
  <c r="L40" i="18" s="1"/>
  <c r="L42" i="18" s="1"/>
  <c r="J25" i="18"/>
  <c r="J40" i="18" s="1"/>
  <c r="J42" i="18" s="1"/>
  <c r="N25" i="18"/>
  <c r="N40" i="18" s="1"/>
  <c r="N42" i="18" s="1"/>
  <c r="P25" i="18"/>
  <c r="P40" i="18" s="1"/>
  <c r="P42" i="18" s="1"/>
  <c r="R25" i="18"/>
  <c r="R40" i="18" s="1"/>
  <c r="R42" i="18" s="1"/>
  <c r="P15" i="17"/>
  <c r="P17" i="17" s="1"/>
  <c r="P24" i="17" s="1"/>
  <c r="R15" i="17"/>
  <c r="Q17" i="17" s="1"/>
  <c r="R20" i="17" s="1"/>
  <c r="Q21" i="17" s="1"/>
  <c r="T15" i="17"/>
  <c r="S17" i="17" s="1"/>
  <c r="T20" i="17" s="1"/>
  <c r="S21" i="17" s="1"/>
  <c r="J24" i="17"/>
  <c r="N24" i="17"/>
  <c r="I22" i="17"/>
  <c r="J23" i="17" s="1"/>
  <c r="U22" i="17"/>
  <c r="V23" i="17" s="1"/>
  <c r="J20" i="17"/>
  <c r="I21" i="17" s="1"/>
  <c r="N43" i="17"/>
  <c r="N44" i="17" s="1"/>
  <c r="N20" i="17"/>
  <c r="M21" i="17" s="1"/>
  <c r="I43" i="17"/>
  <c r="I44" i="17" s="1"/>
  <c r="V24" i="17"/>
  <c r="M22" i="17"/>
  <c r="N23" i="17" s="1"/>
  <c r="V20" i="17"/>
  <c r="U21" i="17" s="1"/>
  <c r="L15" i="17"/>
  <c r="L17" i="17" s="1"/>
  <c r="L24" i="17" s="1"/>
  <c r="S22" i="17" l="1"/>
  <c r="T23" i="17" s="1"/>
  <c r="T24" i="17"/>
  <c r="R24" i="17"/>
  <c r="L25" i="17" s="1"/>
  <c r="Q22" i="17"/>
  <c r="R23" i="17" s="1"/>
  <c r="P20" i="17"/>
  <c r="O21" i="17" s="1"/>
  <c r="O22" i="17"/>
  <c r="P23" i="17" s="1"/>
  <c r="K22" i="17"/>
  <c r="L23" i="17" s="1"/>
  <c r="L20" i="17"/>
  <c r="K21" i="17" s="1"/>
  <c r="J25" i="17" l="1"/>
  <c r="J40" i="17" s="1"/>
  <c r="J42" i="17" s="1"/>
  <c r="R25" i="17"/>
  <c r="V25" i="17"/>
  <c r="V40" i="17" s="1"/>
  <c r="V42" i="17" s="1"/>
  <c r="N25" i="17"/>
  <c r="N40" i="17" s="1"/>
  <c r="N42" i="17" s="1"/>
  <c r="P25" i="17"/>
  <c r="P40" i="17" s="1"/>
  <c r="P42" i="17" s="1"/>
  <c r="T25" i="17"/>
  <c r="T40" i="17" s="1"/>
  <c r="T42" i="17" s="1"/>
  <c r="R40" i="17"/>
  <c r="R42" i="17" s="1"/>
  <c r="L40" i="17"/>
  <c r="L42" i="17" s="1"/>
  <c r="F77" i="15" l="1"/>
  <c r="I53" i="15"/>
  <c r="AA42" i="15"/>
  <c r="AB43" i="15" s="1"/>
  <c r="Y42" i="15"/>
  <c r="Z43" i="15" s="1"/>
  <c r="W42" i="15"/>
  <c r="X43" i="15" s="1"/>
  <c r="U42" i="15"/>
  <c r="V43" i="15" s="1"/>
  <c r="S42" i="15"/>
  <c r="T43" i="15" s="1"/>
  <c r="O42" i="15"/>
  <c r="P43" i="15" s="1"/>
  <c r="M42" i="15"/>
  <c r="N43" i="15" s="1"/>
  <c r="K42" i="15"/>
  <c r="L43" i="15" s="1"/>
  <c r="I42" i="15"/>
  <c r="J43" i="15" s="1"/>
  <c r="AB41" i="15"/>
  <c r="Z41" i="15"/>
  <c r="X41" i="15"/>
  <c r="V41" i="15"/>
  <c r="T41" i="15"/>
  <c r="P41" i="15"/>
  <c r="N41" i="15"/>
  <c r="L41" i="15"/>
  <c r="J41" i="15"/>
  <c r="AA38" i="15"/>
  <c r="AB39" i="15" s="1"/>
  <c r="Y38" i="15"/>
  <c r="Z39" i="15" s="1"/>
  <c r="W38" i="15"/>
  <c r="X39" i="15" s="1"/>
  <c r="U38" i="15"/>
  <c r="V39" i="15" s="1"/>
  <c r="S38" i="15"/>
  <c r="T39" i="15" s="1"/>
  <c r="O38" i="15"/>
  <c r="P39" i="15" s="1"/>
  <c r="M38" i="15"/>
  <c r="N39" i="15" s="1"/>
  <c r="K38" i="15"/>
  <c r="L39" i="15" s="1"/>
  <c r="I38" i="15"/>
  <c r="J39" i="15" s="1"/>
  <c r="AA35" i="15"/>
  <c r="Y35" i="15"/>
  <c r="W35" i="15"/>
  <c r="U35" i="15"/>
  <c r="S35" i="15"/>
  <c r="O35" i="15"/>
  <c r="M35" i="15"/>
  <c r="K35" i="15"/>
  <c r="I35" i="15"/>
  <c r="AB28" i="15"/>
  <c r="K25" i="15"/>
  <c r="I25" i="15"/>
  <c r="AA23" i="15"/>
  <c r="AB23" i="15" s="1"/>
  <c r="Y23" i="15"/>
  <c r="Z23" i="15" s="1"/>
  <c r="W23" i="15"/>
  <c r="X23" i="15" s="1"/>
  <c r="U23" i="15"/>
  <c r="V23" i="15" s="1"/>
  <c r="S23" i="15"/>
  <c r="T23" i="15" s="1"/>
  <c r="P23" i="15"/>
  <c r="M23" i="15"/>
  <c r="N23" i="15" s="1"/>
  <c r="L23" i="15"/>
  <c r="J23" i="15"/>
  <c r="H23" i="15"/>
  <c r="AA22" i="15"/>
  <c r="AB22" i="15" s="1"/>
  <c r="Z22" i="15"/>
  <c r="W22" i="15"/>
  <c r="X22" i="15" s="1"/>
  <c r="U22" i="15"/>
  <c r="V22" i="15" s="1"/>
  <c r="S22" i="15"/>
  <c r="T22" i="15" s="1"/>
  <c r="P22" i="15"/>
  <c r="M22" i="15"/>
  <c r="N22" i="15" s="1"/>
  <c r="L22" i="15"/>
  <c r="J22" i="15"/>
  <c r="H22" i="15"/>
  <c r="AA21" i="15"/>
  <c r="AB21" i="15" s="1"/>
  <c r="Z21" i="15"/>
  <c r="W21" i="15"/>
  <c r="X21" i="15" s="1"/>
  <c r="U21" i="15"/>
  <c r="V21" i="15" s="1"/>
  <c r="S21" i="15"/>
  <c r="T21" i="15" s="1"/>
  <c r="P21" i="15"/>
  <c r="M21" i="15"/>
  <c r="N21" i="15" s="1"/>
  <c r="L21" i="15"/>
  <c r="J21" i="15"/>
  <c r="H21" i="15"/>
  <c r="AA20" i="15"/>
  <c r="AB20" i="15" s="1"/>
  <c r="Z20" i="15"/>
  <c r="W20" i="15"/>
  <c r="X20" i="15" s="1"/>
  <c r="U20" i="15"/>
  <c r="V20" i="15" s="1"/>
  <c r="S20" i="15"/>
  <c r="T20" i="15" s="1"/>
  <c r="P20" i="15"/>
  <c r="M20" i="15"/>
  <c r="N20" i="15" s="1"/>
  <c r="L20" i="15"/>
  <c r="J20" i="15"/>
  <c r="H20" i="15"/>
  <c r="AA19" i="15"/>
  <c r="AB19" i="15" s="1"/>
  <c r="Y19" i="15"/>
  <c r="Z19" i="15" s="1"/>
  <c r="W19" i="15"/>
  <c r="X19" i="15" s="1"/>
  <c r="U19" i="15"/>
  <c r="V19" i="15" s="1"/>
  <c r="S19" i="15"/>
  <c r="T19" i="15" s="1"/>
  <c r="P19" i="15"/>
  <c r="M19" i="15"/>
  <c r="N19" i="15" s="1"/>
  <c r="L19" i="15"/>
  <c r="J19" i="15"/>
  <c r="H19" i="15"/>
  <c r="AA18" i="15"/>
  <c r="AB18" i="15" s="1"/>
  <c r="Y18" i="15"/>
  <c r="Z18" i="15" s="1"/>
  <c r="W18" i="15"/>
  <c r="X18" i="15" s="1"/>
  <c r="U18" i="15"/>
  <c r="V18" i="15" s="1"/>
  <c r="S18" i="15"/>
  <c r="T18" i="15" s="1"/>
  <c r="P18" i="15"/>
  <c r="M18" i="15"/>
  <c r="N18" i="15" s="1"/>
  <c r="L18" i="15"/>
  <c r="J18" i="15"/>
  <c r="H18" i="15"/>
  <c r="AA17" i="15"/>
  <c r="AB17" i="15" s="1"/>
  <c r="Y17" i="15"/>
  <c r="Z17" i="15" s="1"/>
  <c r="W17" i="15"/>
  <c r="X17" i="15" s="1"/>
  <c r="U17" i="15"/>
  <c r="V17" i="15" s="1"/>
  <c r="S17" i="15"/>
  <c r="T17" i="15" s="1"/>
  <c r="P17" i="15"/>
  <c r="M17" i="15"/>
  <c r="N17" i="15" s="1"/>
  <c r="L17" i="15"/>
  <c r="J17" i="15"/>
  <c r="H17" i="15"/>
  <c r="AA16" i="15"/>
  <c r="AB16" i="15" s="1"/>
  <c r="Y16" i="15"/>
  <c r="Z16" i="15" s="1"/>
  <c r="W16" i="15"/>
  <c r="X16" i="15" s="1"/>
  <c r="U16" i="15"/>
  <c r="V16" i="15" s="1"/>
  <c r="S16" i="15"/>
  <c r="T16" i="15" s="1"/>
  <c r="P16" i="15"/>
  <c r="M16" i="15"/>
  <c r="N16" i="15" s="1"/>
  <c r="L16" i="15"/>
  <c r="J16" i="15"/>
  <c r="H16" i="15"/>
  <c r="AA15" i="15"/>
  <c r="AB15" i="15" s="1"/>
  <c r="Y15" i="15"/>
  <c r="Z15" i="15" s="1"/>
  <c r="W15" i="15"/>
  <c r="X15" i="15" s="1"/>
  <c r="U15" i="15"/>
  <c r="V15" i="15" s="1"/>
  <c r="S15" i="15"/>
  <c r="T15" i="15" s="1"/>
  <c r="P15" i="15"/>
  <c r="M15" i="15"/>
  <c r="N15" i="15" s="1"/>
  <c r="L15" i="15"/>
  <c r="J15" i="15"/>
  <c r="H15" i="15"/>
  <c r="AA14" i="15"/>
  <c r="AB14" i="15" s="1"/>
  <c r="Y14" i="15"/>
  <c r="Z14" i="15" s="1"/>
  <c r="W14" i="15"/>
  <c r="X14" i="15" s="1"/>
  <c r="U14" i="15"/>
  <c r="V14" i="15" s="1"/>
  <c r="S14" i="15"/>
  <c r="T14" i="15" s="1"/>
  <c r="P14" i="15"/>
  <c r="M14" i="15"/>
  <c r="N14" i="15" s="1"/>
  <c r="L14" i="15"/>
  <c r="J14" i="15"/>
  <c r="H14" i="15"/>
  <c r="AA13" i="15"/>
  <c r="AB13" i="15" s="1"/>
  <c r="Y13" i="15"/>
  <c r="Z13" i="15" s="1"/>
  <c r="W13" i="15"/>
  <c r="X13" i="15" s="1"/>
  <c r="U13" i="15"/>
  <c r="V13" i="15" s="1"/>
  <c r="S13" i="15"/>
  <c r="T13" i="15" s="1"/>
  <c r="P13" i="15"/>
  <c r="M13" i="15"/>
  <c r="N13" i="15" s="1"/>
  <c r="L13" i="15"/>
  <c r="J13" i="15"/>
  <c r="H13" i="15"/>
  <c r="AA12" i="15"/>
  <c r="AB12" i="15" s="1"/>
  <c r="Y12" i="15"/>
  <c r="Z12" i="15" s="1"/>
  <c r="W12" i="15"/>
  <c r="X12" i="15" s="1"/>
  <c r="U12" i="15"/>
  <c r="V12" i="15" s="1"/>
  <c r="S12" i="15"/>
  <c r="T12" i="15" s="1"/>
  <c r="P12" i="15"/>
  <c r="M12" i="15"/>
  <c r="N12" i="15" s="1"/>
  <c r="L12" i="15"/>
  <c r="J12" i="15"/>
  <c r="H12" i="15"/>
  <c r="AA11" i="15"/>
  <c r="AB11" i="15" s="1"/>
  <c r="Y11" i="15"/>
  <c r="Z11" i="15" s="1"/>
  <c r="W11" i="15"/>
  <c r="X11" i="15" s="1"/>
  <c r="U11" i="15"/>
  <c r="V11" i="15" s="1"/>
  <c r="S11" i="15"/>
  <c r="T11" i="15" s="1"/>
  <c r="P11" i="15"/>
  <c r="M11" i="15"/>
  <c r="N11" i="15" s="1"/>
  <c r="L11" i="15"/>
  <c r="J11" i="15"/>
  <c r="H11" i="15"/>
  <c r="AA10" i="15"/>
  <c r="AB10" i="15" s="1"/>
  <c r="Y10" i="15"/>
  <c r="Z10" i="15" s="1"/>
  <c r="W10" i="15"/>
  <c r="X10" i="15" s="1"/>
  <c r="U10" i="15"/>
  <c r="V10" i="15" s="1"/>
  <c r="S10" i="15"/>
  <c r="T10" i="15" s="1"/>
  <c r="P10" i="15"/>
  <c r="M10" i="15"/>
  <c r="N10" i="15" s="1"/>
  <c r="L10" i="15"/>
  <c r="J10" i="15"/>
  <c r="H10" i="15"/>
  <c r="AA9" i="15"/>
  <c r="AB9" i="15" s="1"/>
  <c r="Y9" i="15"/>
  <c r="Z9" i="15" s="1"/>
  <c r="W9" i="15"/>
  <c r="X9" i="15" s="1"/>
  <c r="U9" i="15"/>
  <c r="V9" i="15" s="1"/>
  <c r="S9" i="15"/>
  <c r="T9" i="15" s="1"/>
  <c r="P9" i="15"/>
  <c r="M9" i="15"/>
  <c r="N9" i="15" s="1"/>
  <c r="L9" i="15"/>
  <c r="J9" i="15"/>
  <c r="H9" i="15"/>
  <c r="AK1" i="15"/>
  <c r="AB24" i="15" l="1"/>
  <c r="AA26" i="15" s="1"/>
  <c r="V24" i="15"/>
  <c r="U26" i="15" s="1"/>
  <c r="P24" i="15"/>
  <c r="O26" i="15" s="1"/>
  <c r="T24" i="15"/>
  <c r="S26" i="15" s="1"/>
  <c r="N24" i="15"/>
  <c r="N26" i="15" s="1"/>
  <c r="H24" i="15"/>
  <c r="H26" i="15" s="1"/>
  <c r="J24" i="15"/>
  <c r="I26" i="15" s="1"/>
  <c r="Z24" i="15"/>
  <c r="Y26" i="15" s="1"/>
  <c r="L24" i="15"/>
  <c r="K26" i="15" s="1"/>
  <c r="X24" i="15"/>
  <c r="X26" i="15" s="1"/>
  <c r="Z29" i="15" l="1"/>
  <c r="Y30" i="15" s="1"/>
  <c r="P54" i="15"/>
  <c r="X29" i="15"/>
  <c r="W30" i="15" s="1"/>
  <c r="Z33" i="15"/>
  <c r="K31" i="15"/>
  <c r="L32" i="15" s="1"/>
  <c r="X33" i="15"/>
  <c r="AA31" i="15"/>
  <c r="AB32" i="15" s="1"/>
  <c r="I31" i="15"/>
  <c r="J32" i="15" s="1"/>
  <c r="N29" i="15"/>
  <c r="M30" i="15" s="1"/>
  <c r="V33" i="15"/>
  <c r="Y31" i="15"/>
  <c r="Z32" i="15" s="1"/>
  <c r="L29" i="15"/>
  <c r="K30" i="15" s="1"/>
  <c r="T33" i="15"/>
  <c r="W31" i="15"/>
  <c r="X32" i="15" s="1"/>
  <c r="J29" i="15"/>
  <c r="I30" i="15" s="1"/>
  <c r="U31" i="15"/>
  <c r="V32" i="15" s="1"/>
  <c r="N33" i="15"/>
  <c r="S31" i="15"/>
  <c r="T32" i="15" s="1"/>
  <c r="L49" i="15"/>
  <c r="L50" i="15" s="1"/>
  <c r="I49" i="15"/>
  <c r="I50" i="15" s="1"/>
  <c r="AB33" i="15"/>
  <c r="L33" i="15"/>
  <c r="J33" i="15"/>
  <c r="M31" i="15"/>
  <c r="N32" i="15" s="1"/>
  <c r="V29" i="15"/>
  <c r="U30" i="15" s="1"/>
  <c r="T29" i="15"/>
  <c r="S30" i="15" s="1"/>
  <c r="AB29" i="15"/>
  <c r="AA30" i="15" s="1"/>
  <c r="M33" i="5" l="1"/>
  <c r="O29" i="5"/>
  <c r="M29" i="5"/>
  <c r="K29" i="5"/>
  <c r="I29" i="5"/>
  <c r="O14" i="5"/>
  <c r="P14" i="5" s="1"/>
  <c r="M14" i="5"/>
  <c r="N14" i="5" s="1"/>
  <c r="K14" i="5"/>
  <c r="L14" i="5" s="1"/>
  <c r="I14" i="5"/>
  <c r="J14" i="5" s="1"/>
  <c r="G14" i="5"/>
  <c r="H14" i="5" s="1"/>
  <c r="O13" i="5"/>
  <c r="P13" i="5" s="1"/>
  <c r="M13" i="5"/>
  <c r="N13" i="5" s="1"/>
  <c r="K13" i="5"/>
  <c r="L13" i="5" s="1"/>
  <c r="J13" i="5"/>
  <c r="I13" i="5"/>
  <c r="G13" i="5"/>
  <c r="H13" i="5" s="1"/>
  <c r="O12" i="5"/>
  <c r="P12" i="5" s="1"/>
  <c r="M12" i="5"/>
  <c r="N12" i="5" s="1"/>
  <c r="K12" i="5"/>
  <c r="L12" i="5" s="1"/>
  <c r="I12" i="5"/>
  <c r="J12" i="5" s="1"/>
  <c r="G12" i="5"/>
  <c r="H12" i="5" s="1"/>
  <c r="O11" i="5"/>
  <c r="P11" i="5" s="1"/>
  <c r="M11" i="5"/>
  <c r="N11" i="5" s="1"/>
  <c r="L11" i="5"/>
  <c r="I11" i="5"/>
  <c r="J11" i="5" s="1"/>
  <c r="G11" i="5"/>
  <c r="H11" i="5" s="1"/>
  <c r="O10" i="5"/>
  <c r="P10" i="5" s="1"/>
  <c r="M10" i="5"/>
  <c r="N10" i="5" s="1"/>
  <c r="K10" i="5"/>
  <c r="I10" i="5"/>
  <c r="G10" i="5"/>
  <c r="F10" i="5"/>
  <c r="H10" i="5" s="1"/>
  <c r="O9" i="5"/>
  <c r="M9" i="5"/>
  <c r="K9" i="5"/>
  <c r="I9" i="5"/>
  <c r="G9" i="5"/>
  <c r="F9" i="5"/>
  <c r="J9" i="5" s="1"/>
  <c r="O26" i="5"/>
  <c r="M26" i="5"/>
  <c r="K26" i="5"/>
  <c r="I26" i="5"/>
  <c r="J10" i="5" l="1"/>
  <c r="L10" i="5"/>
  <c r="L9" i="5"/>
  <c r="N9" i="5"/>
  <c r="P9" i="5"/>
  <c r="H9" i="5"/>
  <c r="O33" i="5" l="1"/>
  <c r="P34" i="5" s="1"/>
  <c r="N34" i="5"/>
  <c r="K33" i="5"/>
  <c r="L34" i="5" s="1"/>
  <c r="I33" i="5"/>
  <c r="J34" i="5" s="1"/>
  <c r="P32" i="5"/>
  <c r="N32" i="5"/>
  <c r="L32" i="5"/>
  <c r="J32" i="5"/>
  <c r="P30" i="5"/>
  <c r="N30" i="5"/>
  <c r="L30" i="5"/>
  <c r="J30" i="5"/>
  <c r="K16" i="5" l="1"/>
  <c r="P15" i="5" l="1"/>
  <c r="O17" i="5" s="1"/>
  <c r="L15" i="5"/>
  <c r="K17" i="5" s="1"/>
  <c r="J15" i="5"/>
  <c r="I17" i="5" s="1"/>
  <c r="F68" i="5"/>
  <c r="I44" i="5"/>
  <c r="Y1" i="5"/>
  <c r="H15" i="5" l="1"/>
  <c r="H17" i="5" s="1"/>
  <c r="I16" i="5"/>
  <c r="N15" i="5"/>
  <c r="P24" i="5" l="1"/>
  <c r="L24" i="5"/>
  <c r="J24" i="5"/>
  <c r="K22" i="5"/>
  <c r="L23" i="5" s="1"/>
  <c r="I22" i="5"/>
  <c r="J23" i="5" s="1"/>
  <c r="O22" i="5"/>
  <c r="P23" i="5" s="1"/>
  <c r="P20" i="5"/>
  <c r="O21" i="5" s="1"/>
  <c r="N17" i="5"/>
  <c r="N20" i="5" s="1"/>
  <c r="M21" i="5" s="1"/>
  <c r="J20" i="5"/>
  <c r="I21" i="5" s="1"/>
  <c r="L40" i="5"/>
  <c r="L41" i="5" s="1"/>
  <c r="I40" i="5"/>
  <c r="I41" i="5" s="1"/>
  <c r="L20" i="5"/>
  <c r="K21" i="5" s="1"/>
  <c r="J25" i="5" l="1"/>
  <c r="P25" i="5"/>
  <c r="N25" i="5"/>
  <c r="L25" i="5"/>
  <c r="N24" i="5"/>
  <c r="M22" i="5"/>
  <c r="N23" i="5" s="1"/>
  <c r="N37" i="5" l="1"/>
  <c r="N39" i="5" s="1"/>
  <c r="L37" i="5"/>
  <c r="L39" i="5" s="1"/>
  <c r="J37" i="5"/>
  <c r="J39" i="5" s="1"/>
  <c r="P37" i="5"/>
  <c r="P39" i="5" s="1"/>
  <c r="O31" i="15" l="1"/>
  <c r="P32" i="15" s="1"/>
  <c r="P33" i="15"/>
  <c r="AB34" i="15" s="1"/>
  <c r="AB46" i="15" s="1"/>
  <c r="AB48" i="15" s="1"/>
  <c r="P29" i="15"/>
  <c r="O30" i="15" s="1"/>
  <c r="J34" i="15" l="1"/>
  <c r="J46" i="15" s="1"/>
  <c r="J48" i="15" s="1"/>
  <c r="V34" i="15"/>
  <c r="V46" i="15" s="1"/>
  <c r="V48" i="15" s="1"/>
  <c r="N34" i="15"/>
  <c r="N46" i="15" s="1"/>
  <c r="N48" i="15" s="1"/>
  <c r="T34" i="15"/>
  <c r="T46" i="15" s="1"/>
  <c r="T48" i="15" s="1"/>
  <c r="X34" i="15"/>
  <c r="X46" i="15" s="1"/>
  <c r="X48" i="15" s="1"/>
  <c r="Z34" i="15"/>
  <c r="Z46" i="15" s="1"/>
  <c r="Z48" i="15" s="1"/>
  <c r="L34" i="15"/>
  <c r="L46" i="15" s="1"/>
  <c r="L48" i="15" s="1"/>
  <c r="P34" i="15"/>
  <c r="P46" i="15" s="1"/>
  <c r="P48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Marilú Vivas</author>
  </authors>
  <commentList>
    <comment ref="I9" authorId="0" shapeId="0" xr:uid="{F5A43DEA-248E-4BBB-894A-5DD4989677DF}">
      <text>
        <r>
          <rPr>
            <b/>
            <sz val="16"/>
            <color indexed="81"/>
            <rFont val="Tahoma"/>
            <family val="2"/>
          </rPr>
          <t>Incluye Tope</t>
        </r>
      </text>
    </comment>
    <comment ref="O9" authorId="0" shapeId="0" xr:uid="{21833086-1713-473C-A745-43FF6D366230}">
      <text>
        <r>
          <rPr>
            <b/>
            <sz val="9"/>
            <color indexed="81"/>
            <rFont val="Tahoma"/>
            <family val="2"/>
          </rPr>
          <t xml:space="preserve">INCLUYE TOPE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Marilú Vivas</author>
  </authors>
  <commentList>
    <comment ref="O9" authorId="0" shapeId="0" xr:uid="{DFA35664-016C-4F66-848C-BCF0BAB1974C}">
      <text>
        <r>
          <rPr>
            <b/>
            <sz val="9"/>
            <color indexed="81"/>
            <rFont val="Tahoma"/>
            <family val="2"/>
          </rPr>
          <t xml:space="preserve">INSTALACION FEDELE </t>
        </r>
      </text>
    </comment>
    <comment ref="O10" authorId="0" shapeId="0" xr:uid="{AB868614-8D13-4FE5-837E-101588E15D78}">
      <text>
        <r>
          <rPr>
            <b/>
            <sz val="9"/>
            <color indexed="81"/>
            <rFont val="Tahoma"/>
            <family val="2"/>
          </rPr>
          <t>INSTALACION FEDELE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Marilú Vivas</author>
  </authors>
  <commentList>
    <comment ref="M9" authorId="0" shapeId="0" xr:uid="{3CEBD185-7390-4C6A-84D1-597578EC6D2E}">
      <text>
        <r>
          <rPr>
            <b/>
            <sz val="12"/>
            <color indexed="81"/>
            <rFont val="Tahoma"/>
            <family val="2"/>
          </rPr>
          <t>COLOCANDOLE 80% DE NACIONALIZACION E ITBIS</t>
        </r>
      </text>
    </comment>
    <comment ref="M10" authorId="0" shapeId="0" xr:uid="{AD2BF360-895F-4DE7-B1E1-747EFC24D351}">
      <text>
        <r>
          <rPr>
            <b/>
            <sz val="12"/>
            <color indexed="81"/>
            <rFont val="Tahoma"/>
            <family val="2"/>
          </rPr>
          <t>COLOCANDOLE 80% DE NACIONALIZACION E ITBIS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1" authorId="0" shapeId="0" xr:uid="{4C72B7AC-8BFA-464C-83BA-CE18CF19CDD0}">
      <text>
        <r>
          <rPr>
            <b/>
            <sz val="12"/>
            <color indexed="81"/>
            <rFont val="Tahoma"/>
            <family val="2"/>
          </rPr>
          <t>COLOCANDOLE 8
0% DE NACIONALIZACION E ITBIS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Marilú Vivas</author>
  </authors>
  <commentList>
    <comment ref="M9" authorId="0" shapeId="0" xr:uid="{CA3EC13F-2B82-4AAE-86FF-70FD8F6DD2C3}">
      <text>
        <r>
          <rPr>
            <b/>
            <sz val="12"/>
            <color indexed="81"/>
            <rFont val="Tahoma"/>
            <family val="2"/>
          </rPr>
          <t xml:space="preserve">COLOCANDOLE 50% POR NACIONALIZACION E ITBIS </t>
        </r>
      </text>
    </comment>
    <comment ref="M10" authorId="0" shapeId="0" xr:uid="{C8A0E7ED-F583-4B65-84EB-3E18F8D87F7A}">
      <text>
        <r>
          <rPr>
            <b/>
            <sz val="12"/>
            <color indexed="81"/>
            <rFont val="Tahoma"/>
            <family val="2"/>
          </rPr>
          <t xml:space="preserve">COLOCANDOLE 50% POR NACIONALIZACION E ITBIS </t>
        </r>
      </text>
    </comment>
    <comment ref="M11" authorId="0" shapeId="0" xr:uid="{5A8C5595-0204-477F-B192-71D8652F12A7}">
      <text>
        <r>
          <rPr>
            <b/>
            <sz val="12"/>
            <color indexed="81"/>
            <rFont val="Tahoma"/>
            <family val="2"/>
          </rPr>
          <t>COLOCANDOLE 45% POR NACIONALIZACION E ITBIS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Marilú Vivas</author>
  </authors>
  <commentList>
    <comment ref="Y20" authorId="0" shapeId="0" xr:uid="{2B7252A8-5D7C-4150-9328-8E2D47CF5AEE}">
      <text>
        <r>
          <rPr>
            <b/>
            <sz val="9"/>
            <color indexed="81"/>
            <rFont val="Tahoma"/>
            <family val="2"/>
          </rPr>
          <t>NO COTIZO, PREGUNTAR</t>
        </r>
      </text>
    </comment>
    <comment ref="Y21" authorId="0" shapeId="0" xr:uid="{C9C94144-6DE0-4924-B934-F829F4068900}">
      <text>
        <r>
          <rPr>
            <b/>
            <sz val="9"/>
            <color indexed="81"/>
            <rFont val="Tahoma"/>
            <family val="2"/>
          </rPr>
          <t>NO COTIZO PREGUNTAR</t>
        </r>
      </text>
    </comment>
    <comment ref="Y22" authorId="0" shapeId="0" xr:uid="{D7B03E43-2932-4194-9CD3-5C3FC40CD0B4}">
      <text>
        <r>
          <rPr>
            <b/>
            <sz val="9"/>
            <color indexed="81"/>
            <rFont val="Tahoma"/>
            <family val="2"/>
          </rPr>
          <t>NO COTIZO PREGUNTAR</t>
        </r>
      </text>
    </comment>
    <comment ref="Q23" authorId="0" shapeId="0" xr:uid="{43F80D81-1963-4D20-B564-B5B8F697EBCB}">
      <text>
        <r>
          <rPr>
            <b/>
            <sz val="9"/>
            <color indexed="81"/>
            <rFont val="Tahoma"/>
            <family val="2"/>
          </rPr>
          <t>alugav</t>
        </r>
      </text>
    </comment>
    <comment ref="U23" authorId="0" shapeId="0" xr:uid="{392F66AB-0D73-40EE-994D-65BD4951B1D5}">
      <text>
        <r>
          <rPr>
            <b/>
            <sz val="9"/>
            <color indexed="81"/>
            <rFont val="Tahoma"/>
            <family val="2"/>
          </rPr>
          <t>PRECIO PRESUPUESTO NO LA COTIZO</t>
        </r>
      </text>
    </comment>
    <comment ref="AA23" authorId="0" shapeId="0" xr:uid="{E986CCE0-7ECA-4875-BF07-41145DCC65FB}">
      <text>
        <r>
          <rPr>
            <b/>
            <sz val="9"/>
            <color indexed="81"/>
            <rFont val="Tahoma"/>
            <family val="2"/>
          </rPr>
          <t xml:space="preserve">NO COTIZO </t>
        </r>
      </text>
    </comment>
  </commentList>
</comments>
</file>

<file path=xl/sharedStrings.xml><?xml version="1.0" encoding="utf-8"?>
<sst xmlns="http://schemas.openxmlformats.org/spreadsheetml/2006/main" count="1827" uniqueCount="245">
  <si>
    <t xml:space="preserve">SELECCIÓN DE OFERTA DE CONTRATISTA O CUADRO COMPARATIVO </t>
  </si>
  <si>
    <t>Reiniciar numero de Control en:
(colocar un numero menos)</t>
  </si>
  <si>
    <t>PROYECTO:</t>
  </si>
  <si>
    <t>ARAYA, PUNTA CANA</t>
  </si>
  <si>
    <t>FECHA:</t>
  </si>
  <si>
    <t>No. CONTROL:</t>
  </si>
  <si>
    <t>SERVICIO SOLICITADO:</t>
  </si>
  <si>
    <t>SELECCIONADO POR:</t>
  </si>
  <si>
    <t xml:space="preserve">PRESUPUESTO </t>
  </si>
  <si>
    <t>COMPARANDO EN IGUALDAD DE DESCRIPCION DE PRODUCTO</t>
  </si>
  <si>
    <t>No.</t>
  </si>
  <si>
    <t>DESCRIPCIÓN</t>
  </si>
  <si>
    <t>UNIDAD</t>
  </si>
  <si>
    <t>CANTIDAD</t>
  </si>
  <si>
    <t>P.U.</t>
  </si>
  <si>
    <t>TOTAL</t>
  </si>
  <si>
    <t>ESPECIFICACIONES TECNICAS</t>
  </si>
  <si>
    <t>SUB TOTAL</t>
  </si>
  <si>
    <t>CONDICIONES COMERCIALES</t>
  </si>
  <si>
    <t>TOTAL CON DESCUENTO</t>
  </si>
  <si>
    <t>PRECIO DE VENTA (TOTAL DE LA PROPUESTA ECONÓMICA)</t>
  </si>
  <si>
    <t>Puntaje</t>
  </si>
  <si>
    <t>OFERTA MAS ECONÓMICA (ENTRE LAS COMPARADAS)</t>
  </si>
  <si>
    <t>DIFERENCIA</t>
  </si>
  <si>
    <t>APROBACIÓN DE LA SELECCIÓN:</t>
  </si>
  <si>
    <t>COORDINADOR DE OBRA</t>
  </si>
  <si>
    <t>PARÁMETROS PARA LA SELECCIÓN</t>
  </si>
  <si>
    <t>PUNTAJE</t>
  </si>
  <si>
    <t xml:space="preserve">          AL   </t>
  </si>
  <si>
    <t>1. Precio de venta (Total de la propuesta económica)</t>
  </si>
  <si>
    <t xml:space="preserve">UT = </t>
  </si>
  <si>
    <t>Precio menor o igual al presupuesto</t>
  </si>
  <si>
    <t>Precio mayor al presupuesto</t>
  </si>
  <si>
    <t>2. Oferta más económica (Entre las comparadas)</t>
  </si>
  <si>
    <t>Diferencia menor (Incluye signo)</t>
  </si>
  <si>
    <t>Diferencia mayor (Incluye signo)</t>
  </si>
  <si>
    <t>3. Financiamiento/ Forma de Pago</t>
  </si>
  <si>
    <t>Por valuación de obra ejecutada sin anticipo</t>
  </si>
  <si>
    <t>Por valuación de obra ejecutada con anticipo</t>
  </si>
  <si>
    <t>Por permuta</t>
  </si>
  <si>
    <t>4. Disponibilidad</t>
  </si>
  <si>
    <t>Inmediata</t>
  </si>
  <si>
    <t>A los 15 días</t>
  </si>
  <si>
    <t>A los 30 días</t>
  </si>
  <si>
    <t>5. Tiempo de entrega o ejecución</t>
  </si>
  <si>
    <t>Tiempo menor o igual al requerido</t>
  </si>
  <si>
    <t>Tiempo mayor al requerido</t>
  </si>
  <si>
    <t>7. Puntaje obtenido en la Precalificación de Contratista</t>
  </si>
  <si>
    <t>10 ptos</t>
  </si>
  <si>
    <t>ITBIS(18%)</t>
  </si>
  <si>
    <t>UND</t>
  </si>
  <si>
    <t>IMPACTO PRESUPUESTO x77 edificios</t>
  </si>
  <si>
    <t>PACIFIC</t>
  </si>
  <si>
    <t>FINANCIAMIENTO/ FORMA DE PAGO</t>
  </si>
  <si>
    <t>DISPONIBILIDAD</t>
  </si>
  <si>
    <t>A los 60 días</t>
  </si>
  <si>
    <t>TIEMPO DE ENTREGA O EJECUCIÓN</t>
  </si>
  <si>
    <t>CALIDAD DE PRODUCTO</t>
  </si>
  <si>
    <t>6. Calidad de Producto</t>
  </si>
  <si>
    <t>Excelente</t>
  </si>
  <si>
    <t>Medio</t>
  </si>
  <si>
    <t>PRECALIFICACIÓN DE CONTRATISTA</t>
  </si>
  <si>
    <r>
      <t xml:space="preserve">CRITERIO DE SELECCIÓN: </t>
    </r>
    <r>
      <rPr>
        <sz val="12"/>
        <rFont val="Tahoma"/>
        <family val="2"/>
      </rPr>
      <t>Se selecciona al contratista con la mayor puntuación</t>
    </r>
    <r>
      <rPr>
        <b/>
        <sz val="12"/>
        <rFont val="Tahoma"/>
        <family val="2"/>
      </rPr>
      <t xml:space="preserve"> </t>
    </r>
  </si>
  <si>
    <t xml:space="preserve">TOTAL CALIFICACION </t>
  </si>
  <si>
    <t>Delta</t>
  </si>
  <si>
    <t>DACIA</t>
  </si>
  <si>
    <t>TYRVAL</t>
  </si>
  <si>
    <t>KITS DE ACCESORIOS DE BAÑOS</t>
  </si>
  <si>
    <t>INODORO ALUVIA SANITARIO DE 2 PIEZAS TAZA ALONGADA CORONA O SIMILAR (6 L/flush alto 3 l/flush bajo o menos )</t>
  </si>
  <si>
    <t>MEZCLADORA Y DUCHA  REFERENCIA MODELO Monocontrol conjunto DUCHA MONOCONTROL INNA MATE BLACK</t>
  </si>
  <si>
    <t>MEZCLADORA FREGADERO MONOMANDO REFERENCIA Monocrontrol INNA Mate Black Ref. NN5010011 (8 L/min o</t>
  </si>
  <si>
    <t>MEZCLADORA LAVADERO MONOMANDO REFERENCIA Monocrontrol INNA Mate Black Ref. NN5010011 (8 L/min o</t>
  </si>
  <si>
    <t>MEZCLADORAS DE LAVAMANOS MONOMANDO Marca Artesa o similar ,GRIFERIA Monocontrol cascade alta mate black antimicrobiano Ref. CA1060001 corona (2 L/min o menos)</t>
  </si>
  <si>
    <t>Otras negociaciones CONTADO</t>
  </si>
  <si>
    <t>CUADRO COMPARATIVO VIDRIO Y ALUMINIO (PIEZAS SANITARIAS)</t>
  </si>
  <si>
    <t>CUADRO COMPARATIVO VIDRIO Y ALUMINIO (VENTANAS Y PUERTAS-VENTANAS)</t>
  </si>
  <si>
    <t xml:space="preserve">NAFA INTERNATIONAL </t>
  </si>
  <si>
    <t>FERRAL</t>
  </si>
  <si>
    <t>ALUMSERVICES</t>
  </si>
  <si>
    <t>ALUGAV</t>
  </si>
  <si>
    <t>GLOBALUM</t>
  </si>
  <si>
    <t xml:space="preserve">ARBOLEDA </t>
  </si>
  <si>
    <t>CORTIZO</t>
  </si>
  <si>
    <t>DOMIWINDOWS</t>
  </si>
  <si>
    <t>P.U</t>
  </si>
  <si>
    <t>PUERTA TIPO BATIENTE  DE VIDRIO 0.80 X2.00 SALIDA PATIO.(P-03)</t>
  </si>
  <si>
    <t>PUERTA-VENTANA FACHADA PRINCIPAL TIPO PV-01  (2.80mX2.10m), NIVEL 2.</t>
  </si>
  <si>
    <t xml:space="preserve"> VENTANA FACHADA PRINCIPAL TIPO (PV-01)  (2.80mX2.10m) (NIVEL 1 Y NIVEL 3)</t>
  </si>
  <si>
    <t>VENTANA FACHADA PRINCIPAL TIPO (V-06)</t>
  </si>
  <si>
    <t>PUERTA  VENTANA FACHADA POSTERIOR TIPO (PV-02)</t>
  </si>
  <si>
    <t>VENTANA FACHADA POSTERIOR TIPO (V-05)</t>
  </si>
  <si>
    <t>VENTANA FACHADA POSTERIOR TIPO (V-02)</t>
  </si>
  <si>
    <t xml:space="preserve"> VENTANA FACHADA POSTERIOR TIPO (V-01)</t>
  </si>
  <si>
    <t xml:space="preserve"> VENTANA FACHADA POSTERIOR TIPO (V-01)B</t>
  </si>
  <si>
    <t xml:space="preserve"> VENTANA FACHADA LATERAL TIPO (V-04)</t>
  </si>
  <si>
    <t>VENTANA BANO PRINCIPAL TIPO (V-03)</t>
  </si>
  <si>
    <t>VENTANA  DE VENTILACION METALICA (ROMANILLA)  DE 0.70X1.90 NIVEL 2,NIVEL 3,NIVEL TERRAZA R-01</t>
  </si>
  <si>
    <t xml:space="preserve"> PUERTA METALICA REJILLA(ROMANILLA)  DE 0.70 X2.10 NIVEL 1 PASILLO P-02</t>
  </si>
  <si>
    <t xml:space="preserve"> PUERTA METALICA REJILLA(ROMANILLA)  DE 1.00X2.10 NIVEL CUBIERTA PASILLO P-06</t>
  </si>
  <si>
    <t xml:space="preserve">MAMPARA VENTANA  DE VIDRIO TRANSPARENTE TEMPLADO   DE 0.90X1.90 </t>
  </si>
  <si>
    <t>Otras negociaciones</t>
  </si>
  <si>
    <t>CUADRO COMPARATIVO SPC FLOORING</t>
  </si>
  <si>
    <t>CIELOS ACUSTICOS</t>
  </si>
  <si>
    <t>MAGSA</t>
  </si>
  <si>
    <t>INTERDECO</t>
  </si>
  <si>
    <t xml:space="preserve"> PISO DE VINIL AFLOOR MODELO IRC SPC 86151-8 5.5mm 183x1220</t>
  </si>
  <si>
    <t>m2</t>
  </si>
  <si>
    <t>ZOCALO</t>
  </si>
  <si>
    <t>ML</t>
  </si>
  <si>
    <t>REDUCER(2.4m)</t>
  </si>
  <si>
    <t>1 pago</t>
  </si>
  <si>
    <t>2 pago</t>
  </si>
  <si>
    <t xml:space="preserve">3 pago </t>
  </si>
  <si>
    <t>4 pago</t>
  </si>
  <si>
    <t>CUADRO COMPARATIVO PUERTAS</t>
  </si>
  <si>
    <t>GRS</t>
  </si>
  <si>
    <t>SABAL</t>
  </si>
  <si>
    <t>PACIFIC LTD</t>
  </si>
  <si>
    <t>COIMTRA</t>
  </si>
  <si>
    <t>SUMINISTRO, TRANSPORTE Y COLOCACION DE PUERTA PRINCIPAL DE 1.00X2.25.(P-01)</t>
  </si>
  <si>
    <t>SG</t>
  </si>
  <si>
    <t>SUMINISTRO, TRANSPORTE Y COLOCACION DE PUERTA DE HABITACIONES   DE 0.90X2.25.(P-05)</t>
  </si>
  <si>
    <t>SUMINISTRO, TRANSPORTE Y COLOCACION DE PUERTA DE BAÑO DE 0.80X2.25.(P-04)</t>
  </si>
  <si>
    <t>OBSERVACIONES</t>
  </si>
  <si>
    <t xml:space="preserve">AUNQUE COIMTRA ES EL SEGUNDO PRECIO MENOR EN COMPARADO, DEBIDO  A  SU CALIDAD DE PUERTA ME INCLINO SOBRE ESTA OPCION </t>
  </si>
  <si>
    <t>CUADRO COMPARATIVO COCINAS</t>
  </si>
  <si>
    <t>ONE</t>
  </si>
  <si>
    <t xml:space="preserve">COIMTRA </t>
  </si>
  <si>
    <t>GERMANY KITCHEN</t>
  </si>
  <si>
    <t xml:space="preserve">SPAZIO DI CASA </t>
  </si>
  <si>
    <t>SUMINISTRO, TRANSPORTE Y COLOCACION DE MUEBLES DE COCINA.</t>
  </si>
  <si>
    <t>und</t>
  </si>
  <si>
    <t>SUMINISTRO, TRANSPORTE Y COLOCACION DE TOPE DE COCINA.</t>
  </si>
  <si>
    <t>CUADRO COMPARATIVO CLOSETS</t>
  </si>
  <si>
    <t>SPAZIO DI CASA</t>
  </si>
  <si>
    <t>SUMINISTRO, TRANSPORTE Y COLOCACION DE PUERTA DE CLOSET TIPO 2. HABITACION AUXILIAR 2.20X2.40.</t>
  </si>
  <si>
    <t xml:space="preserve">SUMINISTRO, TRANSPORTE Y COLOCACION DE WALKING CLOSET HABITACION PRINCIPAL </t>
  </si>
  <si>
    <t xml:space="preserve">LAS OPCIONES SERIAN GRS Y COIMTRA QUE HAGAN LA MUESTRA Y SE DECIDE </t>
  </si>
  <si>
    <t>CUADRO COMPARATIVO LAVAMANO-LAVADERO</t>
  </si>
  <si>
    <t xml:space="preserve">DACIA </t>
  </si>
  <si>
    <t>SUMINISTRO, TRANSPORTE Y COLOCACION MUEBLE DE BANO</t>
  </si>
  <si>
    <t>SUMINISTRO, TRANSPORTE Y COLOCACION MUEBLE DE LAVADERO</t>
  </si>
  <si>
    <t>CUADRO COMPARATIVO BANO COMPACTO</t>
  </si>
  <si>
    <t>SUMINISTRO, TRANSPORTE Y COLOCACION DE CERAMICA EN PISO DE BAÑO DUCHA.</t>
  </si>
  <si>
    <t>M2</t>
  </si>
  <si>
    <t>SUMINISTRO, TRANSPORTE Y COLOCACION DE CERAMICA EN PARED DE BAÑO.</t>
  </si>
  <si>
    <t>SUMINISTRO, TRANSPORTE Y COLOCACION DE CERAMICA EN PISO  DE BAÑO.</t>
  </si>
  <si>
    <t>REJILLA DE DUCHA</t>
  </si>
  <si>
    <t xml:space="preserve">BROCAL DE DUCHA </t>
  </si>
  <si>
    <t xml:space="preserve">ZOCALO </t>
  </si>
  <si>
    <t>CUADRO COMPARATIVO TABLILLA</t>
  </si>
  <si>
    <t>TEJAR DEL REY</t>
  </si>
  <si>
    <t>JORGE TABAR SRL</t>
  </si>
  <si>
    <t>CADEMAC COLOMBIA</t>
  </si>
  <si>
    <t>Tablilla 1104-ALI Español 5.1x23.6cm</t>
  </si>
  <si>
    <t>RENSA</t>
  </si>
  <si>
    <t>SOLELEC HISPANIOLA</t>
  </si>
  <si>
    <t>EMN</t>
  </si>
  <si>
    <t>SISTEMA DE ENERGIA SOLAR INC PANELES</t>
  </si>
  <si>
    <t>POR APARTAMENTO</t>
  </si>
  <si>
    <t xml:space="preserve">POR AREA COMUN </t>
  </si>
  <si>
    <t>CERRADURA INTELIGENTE</t>
  </si>
  <si>
    <t>MARIO EBANISTERIA (PUERTAS MODELO)</t>
  </si>
  <si>
    <t>COIMTRA (LAVADERO-LAVAMANO)</t>
  </si>
  <si>
    <t>DASCLAY(COTIZAR)</t>
  </si>
  <si>
    <t xml:space="preserve">AQUAARMOR EMPRESA CHINA </t>
  </si>
  <si>
    <t>CUADRO COMPARATIVO ESTRUCTURA METALICA TECHOS-PERGOLAS-BARANDAS</t>
  </si>
  <si>
    <t>CONSTRUCCION DE BARANDA DE ESCALERAS. INCLUYE FONDO Y PINTURA.</t>
  </si>
  <si>
    <t>CONSTRUCCION DE BARANDA DE BALCONES. INCLUYE FONDO Y PINTURA.</t>
  </si>
  <si>
    <t xml:space="preserve">PERGOLADO METALICO </t>
  </si>
  <si>
    <t>No. COTIZACIÓN</t>
  </si>
  <si>
    <t>FECHA DE COTIZACIÓN</t>
  </si>
  <si>
    <t>LUGAR DE ENTREGA</t>
  </si>
  <si>
    <t>EMPRESA CON EXPERIENCIA EN VOLUMEN</t>
  </si>
  <si>
    <r>
      <t xml:space="preserve">CRITERIO DE SELECCIÓN: </t>
    </r>
    <r>
      <rPr>
        <sz val="12"/>
        <rFont val="Tahoma"/>
        <family val="2"/>
      </rPr>
      <t>Se selecciona al contratista con la mayor puntuación</t>
    </r>
  </si>
  <si>
    <t>TYRVAL-CONTE-DACIA</t>
  </si>
  <si>
    <t>MARMOLES PRAMA-CONTE-DACIA</t>
  </si>
  <si>
    <t>LA IBERICA- CONTE-DACIA</t>
  </si>
  <si>
    <t>TITAN EMPRESA CHINA (ALUMINIO)</t>
  </si>
  <si>
    <t>ALUMSERVICES-(ALUMINIO)</t>
  </si>
  <si>
    <t>SUPLIPUCANSA-(GALVANIZADO)</t>
  </si>
  <si>
    <t>ALUGAV-(ALUMINIO BARANDAS)</t>
  </si>
  <si>
    <t>ALUGAV-(GALVANIZADO BARANDAS)</t>
  </si>
  <si>
    <t>GRUPO BELLONA</t>
  </si>
  <si>
    <t>TITAN  CHINA</t>
  </si>
  <si>
    <t>CUADRO DE PROVEEDORES — PARTIDAS DE MATERIALES | PROYECTO ARAYA, PUNTA CANA</t>
  </si>
  <si>
    <t xml:space="preserve">26 Edificios fase 1 | Periodo: Julio 2026 - Diciembre 2026 | Moneda: RD$ </t>
  </si>
  <si>
    <t xml:space="preserve"> </t>
  </si>
  <si>
    <t>PARTIDA / COMPRA</t>
  </si>
  <si>
    <t>EMPRESA</t>
  </si>
  <si>
    <t>PRECIO UNITARIO
(RD$/edificio)</t>
  </si>
  <si>
    <t>TOTAL CONTRATO
26 EDIF. (RD$)</t>
  </si>
  <si>
    <t>N°
COMPRA</t>
  </si>
  <si>
    <t>MES DE
LA COMPRA</t>
  </si>
  <si>
    <t>CANTIDAD
EDIFICIOS</t>
  </si>
  <si>
    <t>% QUE
REPRESENTA</t>
  </si>
  <si>
    <t>MONTO DE
ESTA COMPRA (RD$)</t>
  </si>
  <si>
    <t>% AVANCE
DE ESTA COMPRA</t>
  </si>
  <si>
    <t>MONTO AVANCE DE ESTA COMPRA  (RD$)</t>
  </si>
  <si>
    <t>PAGO MENSUAL AL PROVEEDOR (RD$)</t>
  </si>
  <si>
    <t>TOTAL PAGADO
JUL-MAR (RD$)</t>
  </si>
  <si>
    <t>Jul-26</t>
  </si>
  <si>
    <t>Ago-26</t>
  </si>
  <si>
    <t>Sep-26</t>
  </si>
  <si>
    <t>Nov-26</t>
  </si>
  <si>
    <t xml:space="preserve"> INS. Y PIEZAS SANITARIAS</t>
  </si>
  <si>
    <t>LAVAMANOS-GRIFERIA</t>
  </si>
  <si>
    <t>grefgre</t>
  </si>
  <si>
    <t>LAVADERO-GRIFERIA</t>
  </si>
  <si>
    <t>PIEZAS SANITARIAS</t>
  </si>
  <si>
    <t xml:space="preserve">REJILLA  DE DUCHA </t>
  </si>
  <si>
    <t>e3e3e3</t>
  </si>
  <si>
    <t>FREGADERO ACERO INOXIDABLE-GRIFERIA COCINA</t>
  </si>
  <si>
    <t xml:space="preserve">   ↳ Compra 1</t>
  </si>
  <si>
    <t xml:space="preserve">   ↳ Compra 2</t>
  </si>
  <si>
    <t xml:space="preserve">CABLEADO </t>
  </si>
  <si>
    <t>PROVEEDOR ELECTRICO</t>
  </si>
  <si>
    <t xml:space="preserve">   ↳ Compra 3</t>
  </si>
  <si>
    <t xml:space="preserve">   ↳ Compra 4</t>
  </si>
  <si>
    <t xml:space="preserve">   ↳ Compra 5</t>
  </si>
  <si>
    <t>SPC FLOORING</t>
  </si>
  <si>
    <t>AQUAARMOR CHINA</t>
  </si>
  <si>
    <t>REVESTIMIENTOS PISO DE PARED DE DUCHA</t>
  </si>
  <si>
    <t>PROVEEDOR CERAMICA</t>
  </si>
  <si>
    <t>REVESTIMIENTOS PISO DE BANOS</t>
  </si>
  <si>
    <t>Oct-26</t>
  </si>
  <si>
    <t>TABLILLA</t>
  </si>
  <si>
    <t>DASCLAY</t>
  </si>
  <si>
    <t>REVESTIMIENTO ESCALERA, BALCONES</t>
  </si>
  <si>
    <t>CONTE DIRECTO</t>
  </si>
  <si>
    <t>CLOSETS</t>
  </si>
  <si>
    <t>COCINAS</t>
  </si>
  <si>
    <t xml:space="preserve">GERMANY KITCHEN </t>
  </si>
  <si>
    <t>PUERTAS</t>
  </si>
  <si>
    <t>MARIO EBANISTERIA</t>
  </si>
  <si>
    <t>VIDRIO-ALUMINIO</t>
  </si>
  <si>
    <t>BARANDAS-PERGOLAS</t>
  </si>
  <si>
    <t>TITAN</t>
  </si>
  <si>
    <t>ESTRUC. METALICA TECHO</t>
  </si>
  <si>
    <t>GERIPSA-SUPLIPUCANSA</t>
  </si>
  <si>
    <t>SIST. FOTOVOLTAICO</t>
  </si>
  <si>
    <t>TOTAL PROYECTO</t>
  </si>
  <si>
    <t>SALDO ACUMULADO DESEMBOLSADO (RD$) — suma progresiva mes a mes</t>
  </si>
  <si>
    <t>RAAS SOLAR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</si>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</sst>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 * #,##0.00_ ;_ * \-#,##0.00_ ;_ * &quot;-&quot;??_ ;_ @_ "/>
    <numFmt numFmtId="166" formatCode="0_);\(0\)"/>
    <numFmt numFmtId="167" formatCode="_(&quot;RD$&quot;* #,##0.00_);_(&quot;RD$&quot;* \(#,##0.00\);_(&quot;RD$&quot;* &quot;-&quot;??_);_(@_)"/>
    <numFmt numFmtId="168" formatCode="\$#,##0.00;&quot;($&quot;#,##0.00\);\-"/>
    <numFmt numFmtId="169" formatCode="\$#,##0;&quot;($&quot;#,##0\);\-"/>
    <numFmt numFmtId="170" formatCode="0.0%"/>
  </numFmts>
  <fonts count="4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Tahoma"/>
      <family val="2"/>
    </font>
    <font>
      <sz val="9"/>
      <name val="Tahoma"/>
      <family val="2"/>
    </font>
    <font>
      <sz val="9"/>
      <color indexed="12"/>
      <name val="Tahoma"/>
      <family val="2"/>
    </font>
    <font>
      <b/>
      <sz val="12"/>
      <name val="Tahoma"/>
      <family val="2"/>
    </font>
    <font>
      <b/>
      <sz val="24"/>
      <name val="Tahoma"/>
      <family val="2"/>
    </font>
    <font>
      <b/>
      <sz val="14"/>
      <name val="Tahoma"/>
      <family val="2"/>
    </font>
    <font>
      <sz val="12"/>
      <name val="Tahoma"/>
      <family val="2"/>
    </font>
    <font>
      <b/>
      <sz val="9"/>
      <name val="Tahoma"/>
      <family val="2"/>
    </font>
    <font>
      <b/>
      <sz val="22"/>
      <name val="Tahoma"/>
      <family val="2"/>
    </font>
    <font>
      <sz val="14"/>
      <name val="Tahoma"/>
      <family val="2"/>
    </font>
    <font>
      <sz val="16"/>
      <name val="Tahoma"/>
      <family val="2"/>
    </font>
    <font>
      <sz val="16"/>
      <name val="Arial"/>
      <family val="2"/>
    </font>
    <font>
      <b/>
      <sz val="14"/>
      <name val="Arial"/>
      <family val="2"/>
    </font>
    <font>
      <b/>
      <sz val="20"/>
      <name val="Tahoma"/>
      <family val="2"/>
    </font>
    <font>
      <sz val="20"/>
      <name val="Tahoma"/>
      <family val="2"/>
    </font>
    <font>
      <b/>
      <sz val="18"/>
      <name val="Tahoma"/>
      <family val="2"/>
    </font>
    <font>
      <sz val="14"/>
      <name val="Tahoma "/>
    </font>
    <font>
      <sz val="10"/>
      <name val="Arial"/>
      <family val="2"/>
    </font>
    <font>
      <sz val="11"/>
      <color indexed="8"/>
      <name val="Calibri"/>
      <family val="2"/>
    </font>
    <font>
      <sz val="14"/>
      <name val="Arial"/>
      <family val="2"/>
    </font>
    <font>
      <sz val="14"/>
      <color theme="1"/>
      <name val="Tahoma"/>
      <family val="2"/>
    </font>
    <font>
      <sz val="18"/>
      <name val="Tahoma"/>
      <family val="2"/>
    </font>
    <font>
      <b/>
      <sz val="9"/>
      <color indexed="81"/>
      <name val="Tahoma"/>
      <family val="2"/>
    </font>
    <font>
      <sz val="16"/>
      <name val="Tahoma "/>
    </font>
    <font>
      <sz val="16"/>
      <color rgb="FF000000"/>
      <name val="Calibri"/>
      <family val="2"/>
      <scheme val="minor"/>
    </font>
    <font>
      <sz val="16"/>
      <color rgb="FF000000"/>
      <name val="Arial"/>
      <family val="2"/>
    </font>
    <font>
      <b/>
      <sz val="16"/>
      <color indexed="81"/>
      <name val="Tahoma"/>
      <family val="2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"/>
    </font>
    <font>
      <sz val="12"/>
      <color theme="1"/>
      <name val="Arial"/>
      <family val="2"/>
    </font>
    <font>
      <sz val="12"/>
      <color theme="1"/>
      <name val="Tahoma"/>
      <family val="2"/>
    </font>
    <font>
      <b/>
      <sz val="16"/>
      <color theme="1"/>
      <name val="Arial"/>
      <family val="2"/>
    </font>
    <font>
      <i/>
      <sz val="10"/>
      <color rgb="FF404040"/>
      <name val="Arial"/>
      <family val="2"/>
    </font>
    <font>
      <i/>
      <sz val="9"/>
      <color rgb="FFC0000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i/>
      <sz val="9.5"/>
      <color rgb="FF000000"/>
      <name val="Arial"/>
      <family val="2"/>
    </font>
    <font>
      <i/>
      <sz val="9.5"/>
      <color rgb="FF0000FF"/>
      <name val="Arial"/>
      <family val="2"/>
    </font>
    <font>
      <i/>
      <sz val="9.5"/>
      <color rgb="FFFF0000"/>
      <name val="Arial"/>
      <family val="2"/>
    </font>
    <font>
      <b/>
      <sz val="10"/>
      <color rgb="FF000000"/>
      <name val="Arial"/>
      <family val="2"/>
    </font>
    <font>
      <i/>
      <sz val="10"/>
      <name val="Arial"/>
      <family val="2"/>
    </font>
    <font>
      <sz val="14"/>
      <color rgb="FFFF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1F3864"/>
        <bgColor rgb="FF203864"/>
      </patternFill>
    </fill>
    <fill>
      <patternFill patternType="solid">
        <fgColor rgb="FF548235"/>
        <bgColor rgb="FF339966"/>
      </patternFill>
    </fill>
    <fill>
      <patternFill patternType="solid">
        <fgColor theme="0" tint="-0.249977111117893"/>
        <bgColor rgb="FF203864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/>
        <bgColor rgb="FF203864"/>
      </patternFill>
    </fill>
    <fill>
      <patternFill patternType="solid">
        <fgColor rgb="FFF2F2F2"/>
        <bgColor rgb="FFFFFFFF"/>
      </patternFill>
    </fill>
    <fill>
      <patternFill patternType="solid">
        <fgColor rgb="FF203864"/>
        <bgColor rgb="FF1F3864"/>
      </patternFill>
    </fill>
    <fill>
      <patternFill patternType="solid">
        <fgColor rgb="FFA9D08E"/>
        <bgColor rgb="FFB7B7B7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9" fontId="1" fillId="0" borderId="0" applyFont="0" applyFill="0" applyBorder="0" applyAlignment="0" applyProtection="0"/>
    <xf numFmtId="0" fontId="31" fillId="0" borderId="0"/>
  </cellStyleXfs>
  <cellXfs count="89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" fontId="11" fillId="0" borderId="0" xfId="2" applyNumberFormat="1" applyFont="1" applyFill="1" applyBorder="1" applyAlignment="1">
      <alignment horizontal="right" vertical="center" wrapText="1"/>
    </xf>
    <xf numFmtId="43" fontId="11" fillId="0" borderId="0" xfId="1" applyFont="1" applyFill="1" applyBorder="1" applyAlignment="1">
      <alignment horizontal="center" vertical="center" wrapText="1"/>
    </xf>
    <xf numFmtId="1" fontId="3" fillId="0" borderId="0" xfId="1" applyNumberFormat="1" applyFont="1" applyFill="1" applyBorder="1" applyAlignment="1">
      <alignment horizontal="center" vertical="center" wrapText="1"/>
    </xf>
    <xf numFmtId="14" fontId="3" fillId="0" borderId="0" xfId="1" applyNumberFormat="1" applyFont="1" applyFill="1" applyBorder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" fontId="11" fillId="0" borderId="18" xfId="1" applyNumberFormat="1" applyFont="1" applyFill="1" applyBorder="1" applyAlignment="1">
      <alignment horizontal="center" vertical="center" wrapText="1"/>
    </xf>
    <xf numFmtId="4" fontId="11" fillId="0" borderId="13" xfId="1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" fontId="11" fillId="0" borderId="23" xfId="0" applyNumberFormat="1" applyFont="1" applyBorder="1" applyAlignment="1">
      <alignment horizontal="center" vertical="center" wrapText="1"/>
    </xf>
    <xf numFmtId="0" fontId="0" fillId="0" borderId="13" xfId="0" applyBorder="1"/>
    <xf numFmtId="0" fontId="0" fillId="0" borderId="18" xfId="0" applyBorder="1"/>
    <xf numFmtId="17" fontId="13" fillId="0" borderId="24" xfId="0" applyNumberFormat="1" applyFont="1" applyBorder="1" applyAlignment="1">
      <alignment horizontal="center" vertical="center"/>
    </xf>
    <xf numFmtId="17" fontId="13" fillId="0" borderId="22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4" fontId="11" fillId="0" borderId="3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4" fontId="11" fillId="0" borderId="18" xfId="0" applyNumberFormat="1" applyFont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3" fillId="0" borderId="28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2" fontId="3" fillId="0" borderId="0" xfId="2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3" fontId="8" fillId="0" borderId="23" xfId="1" applyFont="1" applyFill="1" applyBorder="1" applyAlignment="1">
      <alignment horizontal="center" vertical="center" wrapText="1"/>
    </xf>
    <xf numFmtId="1" fontId="8" fillId="0" borderId="22" xfId="1" applyNumberFormat="1" applyFont="1" applyFill="1" applyBorder="1" applyAlignment="1">
      <alignment horizontal="center" vertical="center" wrapText="1"/>
    </xf>
    <xf numFmtId="43" fontId="8" fillId="0" borderId="24" xfId="1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46" xfId="0" applyFont="1" applyBorder="1" applyAlignment="1">
      <alignment vertical="center"/>
    </xf>
    <xf numFmtId="0" fontId="16" fillId="0" borderId="4" xfId="0" applyFont="1" applyBorder="1" applyAlignment="1">
      <alignment vertical="center" wrapText="1"/>
    </xf>
    <xf numFmtId="0" fontId="16" fillId="0" borderId="47" xfId="0" applyFont="1" applyBorder="1" applyAlignment="1">
      <alignment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21" xfId="0" applyFont="1" applyBorder="1" applyAlignment="1">
      <alignment vertical="center"/>
    </xf>
    <xf numFmtId="0" fontId="16" fillId="0" borderId="23" xfId="0" applyFont="1" applyBorder="1" applyAlignment="1">
      <alignment vertical="center" wrapText="1"/>
    </xf>
    <xf numFmtId="0" fontId="16" fillId="0" borderId="19" xfId="0" applyFont="1" applyBorder="1" applyAlignment="1">
      <alignment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1" xfId="0" applyFont="1" applyBorder="1" applyAlignment="1">
      <alignment vertical="center" wrapText="1"/>
    </xf>
    <xf numFmtId="0" fontId="16" fillId="0" borderId="50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4" fontId="5" fillId="2" borderId="43" xfId="0" applyNumberFormat="1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right" vertical="center" wrapText="1"/>
    </xf>
    <xf numFmtId="2" fontId="5" fillId="2" borderId="4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" fontId="16" fillId="0" borderId="0" xfId="1" applyNumberFormat="1" applyFont="1" applyFill="1" applyBorder="1" applyAlignment="1">
      <alignment horizontal="center" vertical="center" wrapText="1"/>
    </xf>
    <xf numFmtId="4" fontId="3" fillId="0" borderId="0" xfId="2" applyNumberFormat="1" applyFont="1" applyFill="1" applyBorder="1" applyAlignment="1">
      <alignment horizontal="center" vertical="center" wrapText="1"/>
    </xf>
    <xf numFmtId="4" fontId="3" fillId="0" borderId="0" xfId="1" applyNumberFormat="1" applyFont="1" applyFill="1" applyBorder="1" applyAlignment="1">
      <alignment horizontal="center" vertical="center" wrapText="1"/>
    </xf>
    <xf numFmtId="4" fontId="11" fillId="0" borderId="23" xfId="2" applyNumberFormat="1" applyFont="1" applyFill="1" applyBorder="1" applyAlignment="1">
      <alignment horizontal="right" vertical="center" wrapText="1"/>
    </xf>
    <xf numFmtId="43" fontId="7" fillId="0" borderId="23" xfId="1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43" fontId="8" fillId="0" borderId="0" xfId="0" applyNumberFormat="1" applyFont="1" applyAlignment="1">
      <alignment horizontal="center" vertical="center" wrapText="1"/>
    </xf>
    <xf numFmtId="1" fontId="11" fillId="0" borderId="13" xfId="0" applyNumberFormat="1" applyFont="1" applyBorder="1" applyAlignment="1">
      <alignment horizontal="center" vertical="center" wrapText="1"/>
    </xf>
    <xf numFmtId="4" fontId="18" fillId="6" borderId="17" xfId="3" applyNumberFormat="1" applyFont="1" applyFill="1" applyBorder="1" applyAlignment="1">
      <alignment horizontal="center" vertical="center"/>
    </xf>
    <xf numFmtId="4" fontId="18" fillId="6" borderId="17" xfId="0" applyNumberFormat="1" applyFont="1" applyFill="1" applyBorder="1" applyAlignment="1">
      <alignment vertical="center"/>
    </xf>
    <xf numFmtId="4" fontId="18" fillId="6" borderId="21" xfId="0" applyNumberFormat="1" applyFont="1" applyFill="1" applyBorder="1" applyAlignment="1">
      <alignment vertical="center"/>
    </xf>
    <xf numFmtId="164" fontId="11" fillId="6" borderId="24" xfId="0" applyNumberFormat="1" applyFont="1" applyFill="1" applyBorder="1"/>
    <xf numFmtId="164" fontId="11" fillId="6" borderId="29" xfId="1" applyNumberFormat="1" applyFont="1" applyFill="1" applyBorder="1" applyAlignment="1">
      <alignment horizontal="right" wrapText="1"/>
    </xf>
    <xf numFmtId="4" fontId="11" fillId="0" borderId="4" xfId="2" applyNumberFormat="1" applyFont="1" applyFill="1" applyBorder="1" applyAlignment="1">
      <alignment horizontal="right" vertical="center" wrapText="1"/>
    </xf>
    <xf numFmtId="4" fontId="11" fillId="6" borderId="13" xfId="1" applyNumberFormat="1" applyFont="1" applyFill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43" fontId="11" fillId="6" borderId="1" xfId="1" applyFont="1" applyFill="1" applyBorder="1" applyAlignment="1">
      <alignment vertical="center" wrapText="1"/>
    </xf>
    <xf numFmtId="43" fontId="11" fillId="6" borderId="29" xfId="1" applyFont="1" applyFill="1" applyBorder="1" applyAlignment="1">
      <alignment vertical="center" wrapText="1"/>
    </xf>
    <xf numFmtId="43" fontId="11" fillId="6" borderId="4" xfId="1" applyFont="1" applyFill="1" applyBorder="1" applyAlignment="1">
      <alignment vertical="center" wrapText="1"/>
    </xf>
    <xf numFmtId="43" fontId="11" fillId="6" borderId="4" xfId="1" applyFont="1" applyFill="1" applyBorder="1" applyAlignment="1">
      <alignment horizontal="center" vertical="center" wrapText="1"/>
    </xf>
    <xf numFmtId="43" fontId="11" fillId="6" borderId="29" xfId="1" applyFont="1" applyFill="1" applyBorder="1" applyAlignment="1">
      <alignment horizontal="center" vertical="center" wrapText="1"/>
    </xf>
    <xf numFmtId="4" fontId="11" fillId="6" borderId="29" xfId="0" applyNumberFormat="1" applyFont="1" applyFill="1" applyBorder="1" applyAlignment="1">
      <alignment horizontal="center" vertical="center" wrapText="1"/>
    </xf>
    <xf numFmtId="14" fontId="7" fillId="0" borderId="29" xfId="0" applyNumberFormat="1" applyFont="1" applyBorder="1" applyAlignment="1">
      <alignment horizontal="center" vertical="center" wrapText="1"/>
    </xf>
    <xf numFmtId="4" fontId="9" fillId="0" borderId="0" xfId="0" applyNumberFormat="1" applyFont="1"/>
    <xf numFmtId="4" fontId="3" fillId="0" borderId="0" xfId="0" applyNumberFormat="1" applyFont="1" applyAlignment="1">
      <alignment horizontal="center" vertical="center" wrapText="1"/>
    </xf>
    <xf numFmtId="4" fontId="11" fillId="6" borderId="22" xfId="1" applyNumberFormat="1" applyFont="1" applyFill="1" applyBorder="1" applyAlignment="1">
      <alignment horizontal="center" vertical="center" wrapText="1"/>
    </xf>
    <xf numFmtId="44" fontId="8" fillId="0" borderId="24" xfId="4" applyFont="1" applyFill="1" applyBorder="1" applyAlignment="1">
      <alignment horizontal="center" vertical="center" wrapText="1"/>
    </xf>
    <xf numFmtId="44" fontId="8" fillId="7" borderId="22" xfId="4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9" fontId="8" fillId="0" borderId="19" xfId="1" applyNumberFormat="1" applyFont="1" applyFill="1" applyBorder="1" applyAlignment="1">
      <alignment horizontal="center" vertical="center" wrapText="1"/>
    </xf>
    <xf numFmtId="14" fontId="8" fillId="0" borderId="19" xfId="1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43" fontId="11" fillId="6" borderId="23" xfId="1" applyFont="1" applyFill="1" applyBorder="1" applyAlignment="1">
      <alignment horizontal="center" vertical="center" wrapText="1"/>
    </xf>
    <xf numFmtId="1" fontId="11" fillId="6" borderId="22" xfId="1" applyNumberFormat="1" applyFont="1" applyFill="1" applyBorder="1" applyAlignment="1">
      <alignment horizontal="center" vertical="center" wrapText="1"/>
    </xf>
    <xf numFmtId="9" fontId="8" fillId="0" borderId="24" xfId="1" applyNumberFormat="1" applyFont="1" applyFill="1" applyBorder="1" applyAlignment="1">
      <alignment horizontal="center" vertical="center" wrapText="1"/>
    </xf>
    <xf numFmtId="9" fontId="11" fillId="0" borderId="24" xfId="1" applyNumberFormat="1" applyFont="1" applyFill="1" applyBorder="1" applyAlignment="1">
      <alignment horizontal="center" vertical="center" wrapText="1"/>
    </xf>
    <xf numFmtId="1" fontId="8" fillId="0" borderId="18" xfId="1" applyNumberFormat="1" applyFont="1" applyFill="1" applyBorder="1" applyAlignment="1">
      <alignment horizontal="center" vertical="center" wrapText="1"/>
    </xf>
    <xf numFmtId="1" fontId="11" fillId="0" borderId="42" xfId="1" applyNumberFormat="1" applyFont="1" applyFill="1" applyBorder="1" applyAlignment="1">
      <alignment horizontal="center" vertical="center" wrapText="1"/>
    </xf>
    <xf numFmtId="1" fontId="11" fillId="0" borderId="25" xfId="1" applyNumberFormat="1" applyFont="1" applyFill="1" applyBorder="1" applyAlignment="1">
      <alignment horizontal="center" vertical="center" wrapText="1"/>
    </xf>
    <xf numFmtId="43" fontId="8" fillId="0" borderId="19" xfId="1" applyFont="1" applyFill="1" applyBorder="1" applyAlignment="1">
      <alignment vertical="center" wrapText="1"/>
    </xf>
    <xf numFmtId="37" fontId="8" fillId="0" borderId="18" xfId="1" applyNumberFormat="1" applyFont="1" applyFill="1" applyBorder="1" applyAlignment="1">
      <alignment horizontal="center" vertical="center" wrapText="1"/>
    </xf>
    <xf numFmtId="166" fontId="8" fillId="0" borderId="18" xfId="1" applyNumberFormat="1" applyFont="1" applyFill="1" applyBorder="1" applyAlignment="1">
      <alignment horizontal="center" vertical="center" wrapText="1"/>
    </xf>
    <xf numFmtId="166" fontId="8" fillId="0" borderId="22" xfId="1" applyNumberFormat="1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43" fontId="8" fillId="0" borderId="49" xfId="1" applyFont="1" applyFill="1" applyBorder="1" applyAlignment="1">
      <alignment horizontal="center" vertical="center" wrapText="1"/>
    </xf>
    <xf numFmtId="37" fontId="8" fillId="0" borderId="52" xfId="1" applyNumberFormat="1" applyFont="1" applyFill="1" applyBorder="1" applyAlignment="1">
      <alignment horizontal="center" vertical="center" wrapText="1"/>
    </xf>
    <xf numFmtId="43" fontId="8" fillId="0" borderId="49" xfId="1" applyFont="1" applyFill="1" applyBorder="1" applyAlignment="1">
      <alignment vertical="center" wrapText="1"/>
    </xf>
    <xf numFmtId="43" fontId="8" fillId="0" borderId="52" xfId="1" applyFont="1" applyFill="1" applyBorder="1" applyAlignment="1">
      <alignment horizontal="center" vertical="center" wrapText="1"/>
    </xf>
    <xf numFmtId="1" fontId="8" fillId="0" borderId="52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" fontId="5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/>
    <xf numFmtId="1" fontId="5" fillId="0" borderId="29" xfId="0" applyNumberFormat="1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43" fontId="8" fillId="0" borderId="0" xfId="1" applyFont="1" applyFill="1" applyBorder="1" applyAlignment="1">
      <alignment horizontal="center" vertical="center" wrapText="1"/>
    </xf>
    <xf numFmtId="37" fontId="8" fillId="0" borderId="33" xfId="1" applyNumberFormat="1" applyFont="1" applyFill="1" applyBorder="1" applyAlignment="1">
      <alignment horizontal="center" vertical="center" wrapText="1"/>
    </xf>
    <xf numFmtId="43" fontId="8" fillId="0" borderId="0" xfId="1" applyFont="1" applyFill="1" applyBorder="1" applyAlignment="1">
      <alignment vertical="center" wrapText="1"/>
    </xf>
    <xf numFmtId="43" fontId="8" fillId="0" borderId="33" xfId="1" applyFont="1" applyFill="1" applyBorder="1" applyAlignment="1">
      <alignment horizontal="center" vertical="center" wrapText="1"/>
    </xf>
    <xf numFmtId="1" fontId="8" fillId="0" borderId="33" xfId="1" applyNumberFormat="1" applyFont="1" applyFill="1" applyBorder="1" applyAlignment="1">
      <alignment horizontal="center" vertical="center" wrapText="1"/>
    </xf>
    <xf numFmtId="1" fontId="5" fillId="0" borderId="29" xfId="0" applyNumberFormat="1" applyFont="1" applyBorder="1"/>
    <xf numFmtId="1" fontId="7" fillId="0" borderId="29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right" vertical="center" wrapText="1"/>
    </xf>
    <xf numFmtId="1" fontId="7" fillId="0" borderId="29" xfId="0" applyNumberFormat="1" applyFont="1" applyBorder="1" applyAlignment="1">
      <alignment horizontal="right" vertical="center" wrapText="1"/>
    </xf>
    <xf numFmtId="0" fontId="7" fillId="0" borderId="29" xfId="0" applyFont="1" applyBorder="1" applyAlignment="1">
      <alignment horizontal="right" vertical="center" wrapText="1"/>
    </xf>
    <xf numFmtId="1" fontId="7" fillId="0" borderId="0" xfId="0" applyNumberFormat="1" applyFont="1" applyAlignment="1">
      <alignment horizontal="center" vertical="center" wrapText="1"/>
    </xf>
    <xf numFmtId="1" fontId="7" fillId="7" borderId="29" xfId="0" applyNumberFormat="1" applyFont="1" applyFill="1" applyBorder="1" applyAlignment="1">
      <alignment horizontal="center" vertical="center" wrapText="1"/>
    </xf>
    <xf numFmtId="1" fontId="5" fillId="7" borderId="29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1" fontId="8" fillId="6" borderId="23" xfId="1" applyNumberFormat="1" applyFont="1" applyFill="1" applyBorder="1" applyAlignment="1">
      <alignment horizontal="center" vertical="center" wrapText="1"/>
    </xf>
    <xf numFmtId="1" fontId="8" fillId="6" borderId="17" xfId="1" applyNumberFormat="1" applyFont="1" applyFill="1" applyBorder="1" applyAlignment="1">
      <alignment horizontal="center" vertical="center" wrapText="1"/>
    </xf>
    <xf numFmtId="43" fontId="8" fillId="6" borderId="23" xfId="1" applyFont="1" applyFill="1" applyBorder="1" applyAlignment="1">
      <alignment horizontal="center" vertical="center" wrapText="1"/>
    </xf>
    <xf numFmtId="17" fontId="13" fillId="6" borderId="15" xfId="0" applyNumberFormat="1" applyFont="1" applyFill="1" applyBorder="1" applyAlignment="1">
      <alignment horizontal="center" vertical="center"/>
    </xf>
    <xf numFmtId="167" fontId="18" fillId="6" borderId="17" xfId="3" applyNumberFormat="1" applyFont="1" applyFill="1" applyBorder="1" applyAlignment="1">
      <alignment horizontal="right" vertical="center"/>
    </xf>
    <xf numFmtId="4" fontId="11" fillId="6" borderId="21" xfId="1" applyNumberFormat="1" applyFont="1" applyFill="1" applyBorder="1" applyAlignment="1">
      <alignment horizontal="center" vertical="center" wrapText="1"/>
    </xf>
    <xf numFmtId="4" fontId="11" fillId="6" borderId="31" xfId="1" applyNumberFormat="1" applyFont="1" applyFill="1" applyBorder="1" applyAlignment="1">
      <alignment horizontal="center" vertical="center" wrapText="1"/>
    </xf>
    <xf numFmtId="4" fontId="11" fillId="6" borderId="15" xfId="1" applyNumberFormat="1" applyFont="1" applyFill="1" applyBorder="1" applyAlignment="1">
      <alignment horizontal="center" vertical="center" wrapText="1"/>
    </xf>
    <xf numFmtId="4" fontId="11" fillId="6" borderId="17" xfId="1" applyNumberFormat="1" applyFont="1" applyFill="1" applyBorder="1" applyAlignment="1">
      <alignment horizontal="center" vertical="center" wrapText="1"/>
    </xf>
    <xf numFmtId="167" fontId="11" fillId="6" borderId="17" xfId="0" applyNumberFormat="1" applyFont="1" applyFill="1" applyBorder="1" applyAlignment="1">
      <alignment horizontal="right" vertical="center"/>
    </xf>
    <xf numFmtId="4" fontId="11" fillId="6" borderId="19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43" fontId="8" fillId="0" borderId="35" xfId="1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4" fontId="18" fillId="6" borderId="17" xfId="3" applyNumberFormat="1" applyFont="1" applyFill="1" applyBorder="1" applyAlignment="1">
      <alignment horizontal="right" vertical="center"/>
    </xf>
    <xf numFmtId="8" fontId="21" fillId="6" borderId="15" xfId="0" applyNumberFormat="1" applyFont="1" applyFill="1" applyBorder="1"/>
    <xf numFmtId="8" fontId="21" fillId="6" borderId="25" xfId="0" applyNumberFormat="1" applyFont="1" applyFill="1" applyBorder="1"/>
    <xf numFmtId="4" fontId="11" fillId="0" borderId="13" xfId="1" applyNumberFormat="1" applyFont="1" applyFill="1" applyBorder="1" applyAlignment="1">
      <alignment horizontal="right" vertical="center" wrapText="1"/>
    </xf>
    <xf numFmtId="4" fontId="11" fillId="0" borderId="24" xfId="1" applyNumberFormat="1" applyFont="1" applyFill="1" applyBorder="1" applyAlignment="1">
      <alignment horizontal="center" vertical="center" wrapText="1"/>
    </xf>
    <xf numFmtId="4" fontId="11" fillId="0" borderId="22" xfId="1" applyNumberFormat="1" applyFont="1" applyFill="1" applyBorder="1" applyAlignment="1">
      <alignment horizontal="center" vertical="center" wrapText="1"/>
    </xf>
    <xf numFmtId="164" fontId="11" fillId="6" borderId="13" xfId="0" applyNumberFormat="1" applyFont="1" applyFill="1" applyBorder="1"/>
    <xf numFmtId="164" fontId="11" fillId="6" borderId="18" xfId="1" applyNumberFormat="1" applyFont="1" applyFill="1" applyBorder="1" applyAlignment="1">
      <alignment horizontal="right" wrapText="1"/>
    </xf>
    <xf numFmtId="4" fontId="11" fillId="6" borderId="18" xfId="1" applyNumberFormat="1" applyFont="1" applyFill="1" applyBorder="1" applyAlignment="1">
      <alignment horizontal="center" vertical="center" wrapText="1"/>
    </xf>
    <xf numFmtId="4" fontId="11" fillId="6" borderId="24" xfId="1" applyNumberFormat="1" applyFont="1" applyFill="1" applyBorder="1" applyAlignment="1">
      <alignment horizontal="center" vertical="center" wrapText="1"/>
    </xf>
    <xf numFmtId="4" fontId="18" fillId="6" borderId="50" xfId="0" applyNumberFormat="1" applyFont="1" applyFill="1" applyBorder="1" applyAlignment="1">
      <alignment vertical="center"/>
    </xf>
    <xf numFmtId="164" fontId="11" fillId="6" borderId="52" xfId="1" applyNumberFormat="1" applyFont="1" applyFill="1" applyBorder="1" applyAlignment="1">
      <alignment horizontal="right" wrapText="1"/>
    </xf>
    <xf numFmtId="4" fontId="11" fillId="0" borderId="52" xfId="1" applyNumberFormat="1" applyFont="1" applyFill="1" applyBorder="1" applyAlignment="1">
      <alignment horizontal="center" vertical="center" wrapText="1"/>
    </xf>
    <xf numFmtId="4" fontId="11" fillId="6" borderId="53" xfId="1" applyNumberFormat="1" applyFont="1" applyFill="1" applyBorder="1" applyAlignment="1">
      <alignment horizontal="center" vertical="center" wrapText="1"/>
    </xf>
    <xf numFmtId="4" fontId="11" fillId="6" borderId="54" xfId="1" applyNumberFormat="1" applyFont="1" applyFill="1" applyBorder="1" applyAlignment="1">
      <alignment horizontal="center" vertical="center" wrapText="1"/>
    </xf>
    <xf numFmtId="43" fontId="11" fillId="0" borderId="1" xfId="1" applyFont="1" applyFill="1" applyBorder="1" applyAlignment="1">
      <alignment vertical="center" wrapText="1"/>
    </xf>
    <xf numFmtId="43" fontId="11" fillId="6" borderId="30" xfId="1" applyFont="1" applyFill="1" applyBorder="1" applyAlignment="1">
      <alignment vertical="center" wrapText="1"/>
    </xf>
    <xf numFmtId="43" fontId="11" fillId="6" borderId="51" xfId="1" applyFont="1" applyFill="1" applyBorder="1" applyAlignment="1">
      <alignment vertical="center" wrapText="1"/>
    </xf>
    <xf numFmtId="4" fontId="11" fillId="0" borderId="17" xfId="2" applyNumberFormat="1" applyFont="1" applyFill="1" applyBorder="1" applyAlignment="1">
      <alignment horizontal="right" vertical="center" wrapText="1"/>
    </xf>
    <xf numFmtId="44" fontId="8" fillId="7" borderId="23" xfId="4" applyFont="1" applyFill="1" applyBorder="1" applyAlignment="1">
      <alignment horizontal="center" vertical="center" wrapText="1"/>
    </xf>
    <xf numFmtId="44" fontId="8" fillId="6" borderId="17" xfId="4" applyFont="1" applyFill="1" applyBorder="1" applyAlignment="1">
      <alignment horizontal="center" vertical="center" wrapText="1"/>
    </xf>
    <xf numFmtId="44" fontId="8" fillId="7" borderId="17" xfId="4" applyFont="1" applyFill="1" applyBorder="1" applyAlignment="1">
      <alignment horizontal="center" vertical="center" wrapText="1"/>
    </xf>
    <xf numFmtId="37" fontId="8" fillId="0" borderId="22" xfId="1" applyNumberFormat="1" applyFont="1" applyFill="1" applyBorder="1" applyAlignment="1">
      <alignment horizontal="center" vertical="center" wrapText="1"/>
    </xf>
    <xf numFmtId="43" fontId="11" fillId="0" borderId="49" xfId="1" applyFont="1" applyFill="1" applyBorder="1" applyAlignment="1">
      <alignment vertical="center" wrapText="1"/>
    </xf>
    <xf numFmtId="37" fontId="11" fillId="0" borderId="52" xfId="1" applyNumberFormat="1" applyFont="1" applyFill="1" applyBorder="1" applyAlignment="1">
      <alignment horizontal="center" vertical="center" wrapText="1"/>
    </xf>
    <xf numFmtId="166" fontId="11" fillId="0" borderId="52" xfId="1" applyNumberFormat="1" applyFont="1" applyFill="1" applyBorder="1" applyAlignment="1">
      <alignment horizontal="center" vertical="center" wrapText="1"/>
    </xf>
    <xf numFmtId="43" fontId="11" fillId="0" borderId="35" xfId="1" applyFont="1" applyFill="1" applyBorder="1" applyAlignment="1">
      <alignment horizontal="center" vertical="center" wrapText="1"/>
    </xf>
    <xf numFmtId="37" fontId="11" fillId="0" borderId="35" xfId="1" applyNumberFormat="1" applyFont="1" applyFill="1" applyBorder="1" applyAlignment="1">
      <alignment horizontal="center" vertical="center" wrapText="1"/>
    </xf>
    <xf numFmtId="43" fontId="11" fillId="0" borderId="37" xfId="1" applyFont="1" applyFill="1" applyBorder="1" applyAlignment="1">
      <alignment horizontal="center" vertical="center" wrapText="1"/>
    </xf>
    <xf numFmtId="166" fontId="11" fillId="0" borderId="36" xfId="1" applyNumberFormat="1" applyFont="1" applyFill="1" applyBorder="1" applyAlignment="1">
      <alignment horizontal="center" vertical="center" wrapText="1"/>
    </xf>
    <xf numFmtId="43" fontId="11" fillId="0" borderId="0" xfId="1" applyFont="1" applyFill="1" applyBorder="1" applyAlignment="1">
      <alignment vertical="center" wrapText="1"/>
    </xf>
    <xf numFmtId="37" fontId="11" fillId="0" borderId="33" xfId="1" applyNumberFormat="1" applyFont="1" applyFill="1" applyBorder="1" applyAlignment="1">
      <alignment horizontal="center" vertical="center" wrapText="1"/>
    </xf>
    <xf numFmtId="166" fontId="11" fillId="0" borderId="33" xfId="1" applyNumberFormat="1" applyFont="1" applyFill="1" applyBorder="1" applyAlignment="1">
      <alignment horizontal="center" vertical="center" wrapText="1"/>
    </xf>
    <xf numFmtId="37" fontId="11" fillId="0" borderId="0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/>
    </xf>
    <xf numFmtId="1" fontId="7" fillId="0" borderId="3" xfId="0" applyNumberFormat="1" applyFont="1" applyBorder="1" applyAlignment="1">
      <alignment horizontal="right" vertical="center" wrapText="1"/>
    </xf>
    <xf numFmtId="4" fontId="23" fillId="0" borderId="0" xfId="1" applyNumberFormat="1" applyFont="1" applyFill="1" applyBorder="1" applyAlignment="1">
      <alignment vertical="center" wrapText="1"/>
    </xf>
    <xf numFmtId="4" fontId="17" fillId="0" borderId="0" xfId="0" applyNumberFormat="1" applyFont="1"/>
    <xf numFmtId="4" fontId="17" fillId="0" borderId="0" xfId="0" applyNumberFormat="1" applyFont="1" applyAlignment="1">
      <alignment horizontal="right" vertical="center" wrapText="1"/>
    </xf>
    <xf numFmtId="4" fontId="17" fillId="0" borderId="0" xfId="0" applyNumberFormat="1" applyFont="1" applyAlignment="1">
      <alignment horizontal="left" vertical="center" wrapText="1"/>
    </xf>
    <xf numFmtId="4" fontId="8" fillId="0" borderId="0" xfId="0" applyNumberFormat="1" applyFont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4" fontId="25" fillId="6" borderId="17" xfId="3" applyNumberFormat="1" applyFont="1" applyFill="1" applyBorder="1" applyAlignment="1">
      <alignment horizontal="center" vertical="center"/>
    </xf>
    <xf numFmtId="4" fontId="25" fillId="6" borderId="17" xfId="3" applyNumberFormat="1" applyFont="1" applyFill="1" applyBorder="1" applyAlignment="1">
      <alignment horizontal="right" vertical="center"/>
    </xf>
    <xf numFmtId="4" fontId="12" fillId="0" borderId="57" xfId="6" applyNumberFormat="1" applyFont="1" applyFill="1" applyBorder="1" applyAlignment="1">
      <alignment horizontal="center" vertical="center" wrapText="1"/>
    </xf>
    <xf numFmtId="164" fontId="12" fillId="6" borderId="38" xfId="0" applyNumberFormat="1" applyFont="1" applyFill="1" applyBorder="1" applyAlignment="1">
      <alignment horizontal="center" vertical="center" wrapText="1"/>
    </xf>
    <xf numFmtId="4" fontId="11" fillId="6" borderId="58" xfId="6" applyNumberFormat="1" applyFont="1" applyFill="1" applyBorder="1" applyAlignment="1">
      <alignment horizontal="center" vertical="center" wrapText="1"/>
    </xf>
    <xf numFmtId="4" fontId="11" fillId="6" borderId="38" xfId="6" applyNumberFormat="1" applyFont="1" applyFill="1" applyBorder="1" applyAlignment="1">
      <alignment horizontal="center" vertical="center" wrapText="1"/>
    </xf>
    <xf numFmtId="4" fontId="11" fillId="6" borderId="14" xfId="6" applyNumberFormat="1" applyFont="1" applyFill="1" applyBorder="1" applyAlignment="1">
      <alignment horizontal="center" vertical="center" wrapText="1"/>
    </xf>
    <xf numFmtId="4" fontId="11" fillId="0" borderId="13" xfId="6" applyNumberFormat="1" applyFont="1" applyFill="1" applyBorder="1" applyAlignment="1">
      <alignment horizontal="center" vertical="center" wrapText="1"/>
    </xf>
    <xf numFmtId="4" fontId="11" fillId="0" borderId="18" xfId="6" applyNumberFormat="1" applyFont="1" applyFill="1" applyBorder="1" applyAlignment="1">
      <alignment horizontal="center" vertical="center" wrapText="1"/>
    </xf>
    <xf numFmtId="4" fontId="11" fillId="6" borderId="5" xfId="1" applyNumberFormat="1" applyFont="1" applyFill="1" applyBorder="1" applyAlignment="1">
      <alignment horizontal="center" vertical="center" wrapText="1"/>
    </xf>
    <xf numFmtId="4" fontId="11" fillId="6" borderId="18" xfId="6" applyNumberFormat="1" applyFont="1" applyFill="1" applyBorder="1" applyAlignment="1">
      <alignment horizontal="center" vertical="center" wrapText="1"/>
    </xf>
    <xf numFmtId="4" fontId="11" fillId="6" borderId="13" xfId="6" applyNumberFormat="1" applyFont="1" applyFill="1" applyBorder="1" applyAlignment="1">
      <alignment horizontal="center" vertical="center" wrapText="1"/>
    </xf>
    <xf numFmtId="4" fontId="12" fillId="0" borderId="4" xfId="6" applyNumberFormat="1" applyFont="1" applyFill="1" applyBorder="1" applyAlignment="1">
      <alignment horizontal="center" vertical="center" wrapText="1"/>
    </xf>
    <xf numFmtId="164" fontId="12" fillId="6" borderId="13" xfId="0" applyNumberFormat="1" applyFont="1" applyFill="1" applyBorder="1" applyAlignment="1">
      <alignment horizontal="center" vertical="center" wrapText="1"/>
    </xf>
    <xf numFmtId="4" fontId="11" fillId="6" borderId="21" xfId="6" applyNumberFormat="1" applyFont="1" applyFill="1" applyBorder="1" applyAlignment="1">
      <alignment horizontal="center" vertical="center" wrapText="1"/>
    </xf>
    <xf numFmtId="4" fontId="11" fillId="6" borderId="22" xfId="6" applyNumberFormat="1" applyFont="1" applyFill="1" applyBorder="1" applyAlignment="1">
      <alignment horizontal="center" vertical="center" wrapText="1"/>
    </xf>
    <xf numFmtId="164" fontId="12" fillId="6" borderId="13" xfId="3" applyNumberFormat="1" applyFont="1" applyFill="1" applyBorder="1" applyAlignment="1">
      <alignment horizontal="center" vertical="center" wrapText="1"/>
    </xf>
    <xf numFmtId="1" fontId="11" fillId="0" borderId="59" xfId="0" applyNumberFormat="1" applyFont="1" applyBorder="1" applyAlignment="1">
      <alignment horizontal="center" vertical="center" wrapText="1"/>
    </xf>
    <xf numFmtId="4" fontId="18" fillId="6" borderId="59" xfId="3" applyNumberFormat="1" applyFont="1" applyFill="1" applyBorder="1" applyAlignment="1">
      <alignment horizontal="center" vertical="center"/>
    </xf>
    <xf numFmtId="167" fontId="18" fillId="6" borderId="59" xfId="3" applyNumberFormat="1" applyFont="1" applyFill="1" applyBorder="1" applyAlignment="1">
      <alignment horizontal="right" vertical="center"/>
    </xf>
    <xf numFmtId="4" fontId="18" fillId="6" borderId="23" xfId="0" applyNumberFormat="1" applyFont="1" applyFill="1" applyBorder="1" applyAlignment="1">
      <alignment vertical="center"/>
    </xf>
    <xf numFmtId="1" fontId="11" fillId="0" borderId="60" xfId="0" applyNumberFormat="1" applyFont="1" applyBorder="1" applyAlignment="1">
      <alignment horizontal="center" vertical="center" wrapText="1"/>
    </xf>
    <xf numFmtId="4" fontId="18" fillId="6" borderId="60" xfId="3" applyNumberFormat="1" applyFont="1" applyFill="1" applyBorder="1" applyAlignment="1">
      <alignment horizontal="center" vertical="center"/>
    </xf>
    <xf numFmtId="167" fontId="11" fillId="6" borderId="60" xfId="0" applyNumberFormat="1" applyFont="1" applyFill="1" applyBorder="1" applyAlignment="1">
      <alignment horizontal="right" vertical="center"/>
    </xf>
    <xf numFmtId="4" fontId="18" fillId="6" borderId="61" xfId="0" applyNumberFormat="1" applyFont="1" applyFill="1" applyBorder="1" applyAlignment="1">
      <alignment vertical="center"/>
    </xf>
    <xf numFmtId="4" fontId="11" fillId="6" borderId="62" xfId="1" applyNumberFormat="1" applyFont="1" applyFill="1" applyBorder="1" applyAlignment="1">
      <alignment horizontal="center" vertical="center" wrapText="1"/>
    </xf>
    <xf numFmtId="4" fontId="11" fillId="6" borderId="63" xfId="1" applyNumberFormat="1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4" fontId="11" fillId="6" borderId="27" xfId="0" applyNumberFormat="1" applyFont="1" applyFill="1" applyBorder="1" applyAlignment="1">
      <alignment horizontal="center" vertical="center" wrapText="1"/>
    </xf>
    <xf numFmtId="164" fontId="11" fillId="6" borderId="27" xfId="0" applyNumberFormat="1" applyFont="1" applyFill="1" applyBorder="1"/>
    <xf numFmtId="164" fontId="11" fillId="6" borderId="27" xfId="1" applyNumberFormat="1" applyFont="1" applyFill="1" applyBorder="1" applyAlignment="1">
      <alignment horizontal="right" wrapText="1"/>
    </xf>
    <xf numFmtId="164" fontId="11" fillId="6" borderId="26" xfId="1" applyNumberFormat="1" applyFont="1" applyFill="1" applyBorder="1" applyAlignment="1">
      <alignment horizontal="right" wrapText="1"/>
    </xf>
    <xf numFmtId="4" fontId="11" fillId="0" borderId="46" xfId="0" applyNumberFormat="1" applyFont="1" applyBorder="1" applyAlignment="1">
      <alignment horizontal="center" vertical="center" wrapText="1"/>
    </xf>
    <xf numFmtId="4" fontId="11" fillId="0" borderId="21" xfId="0" applyNumberFormat="1" applyFont="1" applyBorder="1" applyAlignment="1">
      <alignment horizontal="center" vertical="center" wrapText="1"/>
    </xf>
    <xf numFmtId="43" fontId="7" fillId="0" borderId="23" xfId="1" applyFont="1" applyFill="1" applyBorder="1" applyAlignment="1">
      <alignment horizontal="right" vertical="center" wrapText="1"/>
    </xf>
    <xf numFmtId="164" fontId="7" fillId="0" borderId="23" xfId="1" applyNumberFormat="1" applyFont="1" applyFill="1" applyBorder="1" applyAlignment="1">
      <alignment horizontal="right" vertical="center" wrapText="1"/>
    </xf>
    <xf numFmtId="1" fontId="8" fillId="6" borderId="18" xfId="1" applyNumberFormat="1" applyFont="1" applyFill="1" applyBorder="1" applyAlignment="1">
      <alignment horizontal="center" vertical="center" wrapText="1"/>
    </xf>
    <xf numFmtId="43" fontId="11" fillId="6" borderId="24" xfId="1" applyFont="1" applyFill="1" applyBorder="1" applyAlignment="1">
      <alignment horizontal="center" vertical="center" wrapText="1"/>
    </xf>
    <xf numFmtId="1" fontId="11" fillId="6" borderId="23" xfId="1" applyNumberFormat="1" applyFont="1" applyFill="1" applyBorder="1" applyAlignment="1">
      <alignment horizontal="center" vertical="center" wrapText="1"/>
    </xf>
    <xf numFmtId="4" fontId="11" fillId="6" borderId="23" xfId="1" applyNumberFormat="1" applyFont="1" applyFill="1" applyBorder="1" applyAlignment="1">
      <alignment horizontal="center" vertical="center" wrapText="1"/>
    </xf>
    <xf numFmtId="1" fontId="8" fillId="0" borderId="23" xfId="1" applyNumberFormat="1" applyFont="1" applyFill="1" applyBorder="1" applyAlignment="1">
      <alignment horizontal="center" vertical="center" wrapText="1"/>
    </xf>
    <xf numFmtId="9" fontId="11" fillId="9" borderId="42" xfId="1" applyNumberFormat="1" applyFont="1" applyFill="1" applyBorder="1" applyAlignment="1">
      <alignment horizontal="center" vertical="center" wrapText="1"/>
    </xf>
    <xf numFmtId="9" fontId="11" fillId="6" borderId="25" xfId="1" applyNumberFormat="1" applyFont="1" applyFill="1" applyBorder="1" applyAlignment="1">
      <alignment horizontal="center" vertical="center" wrapText="1"/>
    </xf>
    <xf numFmtId="1" fontId="11" fillId="6" borderId="25" xfId="1" applyNumberFormat="1" applyFont="1" applyFill="1" applyBorder="1" applyAlignment="1">
      <alignment horizontal="center" vertical="center" wrapText="1"/>
    </xf>
    <xf numFmtId="9" fontId="11" fillId="6" borderId="4" xfId="1" applyNumberFormat="1" applyFont="1" applyFill="1" applyBorder="1" applyAlignment="1">
      <alignment horizontal="center" vertical="center" wrapText="1"/>
    </xf>
    <xf numFmtId="14" fontId="8" fillId="0" borderId="13" xfId="1" applyNumberFormat="1" applyFont="1" applyFill="1" applyBorder="1" applyAlignment="1">
      <alignment horizontal="center" vertical="center" wrapText="1"/>
    </xf>
    <xf numFmtId="166" fontId="8" fillId="0" borderId="23" xfId="1" applyNumberFormat="1" applyFont="1" applyFill="1" applyBorder="1" applyAlignment="1">
      <alignment horizontal="center" vertical="center" wrapText="1"/>
    </xf>
    <xf numFmtId="43" fontId="8" fillId="0" borderId="65" xfId="1" applyFont="1" applyFill="1" applyBorder="1" applyAlignment="1">
      <alignment horizontal="center" vertical="center" wrapText="1"/>
    </xf>
    <xf numFmtId="37" fontId="8" fillId="0" borderId="35" xfId="1" applyNumberFormat="1" applyFont="1" applyFill="1" applyBorder="1" applyAlignment="1">
      <alignment horizontal="center" vertical="center" wrapText="1"/>
    </xf>
    <xf numFmtId="43" fontId="8" fillId="0" borderId="12" xfId="1" applyFont="1" applyFill="1" applyBorder="1" applyAlignment="1">
      <alignment horizontal="center" vertical="center" wrapText="1"/>
    </xf>
    <xf numFmtId="37" fontId="8" fillId="0" borderId="0" xfId="1" applyNumberFormat="1" applyFont="1" applyFill="1" applyBorder="1" applyAlignment="1">
      <alignment horizontal="center" vertical="center" wrapText="1"/>
    </xf>
    <xf numFmtId="1" fontId="5" fillId="0" borderId="27" xfId="0" applyNumberFormat="1" applyFont="1" applyBorder="1" applyAlignment="1">
      <alignment vertical="center" wrapText="1"/>
    </xf>
    <xf numFmtId="1" fontId="5" fillId="6" borderId="28" xfId="0" applyNumberFormat="1" applyFont="1" applyFill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/>
    </xf>
    <xf numFmtId="1" fontId="7" fillId="0" borderId="28" xfId="0" applyNumberFormat="1" applyFont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26" fillId="0" borderId="66" xfId="3" applyFont="1" applyBorder="1" applyAlignment="1">
      <alignment horizontal="center" vertical="center" wrapText="1"/>
    </xf>
    <xf numFmtId="0" fontId="27" fillId="0" borderId="22" xfId="3" applyFont="1" applyBorder="1" applyAlignment="1">
      <alignment horizontal="center" vertical="center" wrapText="1"/>
    </xf>
    <xf numFmtId="8" fontId="13" fillId="0" borderId="22" xfId="3" applyNumberFormat="1" applyFont="1" applyBorder="1" applyAlignment="1">
      <alignment horizontal="center"/>
    </xf>
    <xf numFmtId="4" fontId="12" fillId="0" borderId="25" xfId="6" applyNumberFormat="1" applyFont="1" applyFill="1" applyBorder="1" applyAlignment="1">
      <alignment horizontal="center" vertical="center" wrapText="1"/>
    </xf>
    <xf numFmtId="164" fontId="12" fillId="8" borderId="38" xfId="3" applyNumberFormat="1" applyFont="1" applyFill="1" applyBorder="1" applyAlignment="1">
      <alignment horizontal="center" vertical="center" wrapText="1"/>
    </xf>
    <xf numFmtId="4" fontId="11" fillId="8" borderId="40" xfId="6" applyNumberFormat="1" applyFont="1" applyFill="1" applyBorder="1" applyAlignment="1">
      <alignment horizontal="center" vertical="center" wrapText="1"/>
    </xf>
    <xf numFmtId="4" fontId="11" fillId="8" borderId="20" xfId="6" applyNumberFormat="1" applyFont="1" applyFill="1" applyBorder="1" applyAlignment="1">
      <alignment horizontal="center" vertical="center" wrapText="1"/>
    </xf>
    <xf numFmtId="4" fontId="11" fillId="8" borderId="14" xfId="6" applyNumberFormat="1" applyFont="1" applyFill="1" applyBorder="1" applyAlignment="1">
      <alignment horizontal="center" vertical="center" wrapText="1"/>
    </xf>
    <xf numFmtId="4" fontId="11" fillId="8" borderId="13" xfId="6" applyNumberFormat="1" applyFont="1" applyFill="1" applyBorder="1" applyAlignment="1">
      <alignment horizontal="center" vertical="center" wrapText="1"/>
    </xf>
    <xf numFmtId="4" fontId="11" fillId="8" borderId="18" xfId="6" applyNumberFormat="1" applyFont="1" applyFill="1" applyBorder="1" applyAlignment="1">
      <alignment horizontal="center" vertical="center" wrapText="1"/>
    </xf>
    <xf numFmtId="4" fontId="11" fillId="8" borderId="21" xfId="6" applyNumberFormat="1" applyFont="1" applyFill="1" applyBorder="1" applyAlignment="1">
      <alignment horizontal="center" vertical="center" wrapText="1"/>
    </xf>
    <xf numFmtId="164" fontId="12" fillId="8" borderId="13" xfId="3" applyNumberFormat="1" applyFont="1" applyFill="1" applyBorder="1" applyAlignment="1">
      <alignment horizontal="center" vertical="center" wrapText="1"/>
    </xf>
    <xf numFmtId="4" fontId="11" fillId="8" borderId="24" xfId="6" applyNumberFormat="1" applyFont="1" applyFill="1" applyBorder="1" applyAlignment="1">
      <alignment horizontal="center" vertical="center" wrapText="1"/>
    </xf>
    <xf numFmtId="4" fontId="11" fillId="8" borderId="22" xfId="6" applyNumberFormat="1" applyFont="1" applyFill="1" applyBorder="1" applyAlignment="1">
      <alignment horizontal="center" vertical="center" wrapText="1"/>
    </xf>
    <xf numFmtId="4" fontId="11" fillId="0" borderId="21" xfId="1" applyNumberFormat="1" applyFont="1" applyFill="1" applyBorder="1" applyAlignment="1">
      <alignment horizontal="center" vertical="center" wrapText="1"/>
    </xf>
    <xf numFmtId="4" fontId="11" fillId="6" borderId="36" xfId="1" applyNumberFormat="1" applyFont="1" applyFill="1" applyBorder="1" applyAlignment="1">
      <alignment horizontal="center" vertical="center" wrapText="1"/>
    </xf>
    <xf numFmtId="164" fontId="11" fillId="6" borderId="53" xfId="0" applyNumberFormat="1" applyFont="1" applyFill="1" applyBorder="1"/>
    <xf numFmtId="1" fontId="8" fillId="6" borderId="21" xfId="1" applyNumberFormat="1" applyFont="1" applyFill="1" applyBorder="1" applyAlignment="1">
      <alignment horizontal="center" vertical="center" wrapText="1"/>
    </xf>
    <xf numFmtId="1" fontId="8" fillId="6" borderId="24" xfId="1" applyNumberFormat="1" applyFont="1" applyFill="1" applyBorder="1" applyAlignment="1">
      <alignment horizontal="center" vertical="center" wrapText="1"/>
    </xf>
    <xf numFmtId="9" fontId="8" fillId="0" borderId="13" xfId="1" applyNumberFormat="1" applyFont="1" applyFill="1" applyBorder="1" applyAlignment="1">
      <alignment horizontal="center" vertical="center" wrapText="1"/>
    </xf>
    <xf numFmtId="1" fontId="11" fillId="0" borderId="4" xfId="1" applyNumberFormat="1" applyFont="1" applyFill="1" applyBorder="1" applyAlignment="1">
      <alignment horizontal="center" vertical="center" wrapText="1"/>
    </xf>
    <xf numFmtId="166" fontId="8" fillId="0" borderId="21" xfId="1" applyNumberFormat="1" applyFont="1" applyFill="1" applyBorder="1" applyAlignment="1">
      <alignment horizontal="center" vertical="center" wrapText="1"/>
    </xf>
    <xf numFmtId="43" fontId="8" fillId="0" borderId="13" xfId="1" applyFont="1" applyFill="1" applyBorder="1" applyAlignment="1">
      <alignment vertical="center" wrapText="1"/>
    </xf>
    <xf numFmtId="1" fontId="8" fillId="0" borderId="48" xfId="1" applyNumberFormat="1" applyFont="1" applyFill="1" applyBorder="1" applyAlignment="1">
      <alignment horizontal="center" vertical="center" wrapText="1"/>
    </xf>
    <xf numFmtId="43" fontId="8" fillId="0" borderId="65" xfId="1" applyFont="1" applyFill="1" applyBorder="1" applyAlignment="1">
      <alignment vertical="center" wrapText="1"/>
    </xf>
    <xf numFmtId="1" fontId="8" fillId="0" borderId="0" xfId="1" applyNumberFormat="1" applyFont="1" applyFill="1" applyBorder="1" applyAlignment="1">
      <alignment horizontal="center" vertical="center" wrapText="1"/>
    </xf>
    <xf numFmtId="43" fontId="8" fillId="0" borderId="12" xfId="1" applyFont="1" applyFill="1" applyBorder="1" applyAlignment="1">
      <alignment vertical="center" wrapText="1"/>
    </xf>
    <xf numFmtId="43" fontId="8" fillId="0" borderId="27" xfId="1" applyFont="1" applyFill="1" applyBorder="1" applyAlignment="1">
      <alignment vertical="center" wrapText="1"/>
    </xf>
    <xf numFmtId="1" fontId="8" fillId="0" borderId="16" xfId="1" applyNumberFormat="1" applyFont="1" applyFill="1" applyBorder="1" applyAlignment="1">
      <alignment horizontal="center" vertical="center" wrapText="1"/>
    </xf>
    <xf numFmtId="1" fontId="5" fillId="6" borderId="0" xfId="0" applyNumberFormat="1" applyFont="1" applyFill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8" fontId="13" fillId="0" borderId="14" xfId="3" applyNumberFormat="1" applyFont="1" applyBorder="1" applyAlignment="1">
      <alignment horizontal="center"/>
    </xf>
    <xf numFmtId="4" fontId="12" fillId="0" borderId="14" xfId="6" applyNumberFormat="1" applyFont="1" applyFill="1" applyBorder="1" applyAlignment="1">
      <alignment horizontal="center" vertical="center" wrapText="1"/>
    </xf>
    <xf numFmtId="4" fontId="11" fillId="6" borderId="38" xfId="1" applyNumberFormat="1" applyFont="1" applyFill="1" applyBorder="1" applyAlignment="1">
      <alignment horizontal="center" vertical="center" wrapText="1"/>
    </xf>
    <xf numFmtId="4" fontId="11" fillId="8" borderId="38" xfId="6" applyNumberFormat="1" applyFont="1" applyFill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4" fontId="18" fillId="6" borderId="13" xfId="3" applyNumberFormat="1" applyFont="1" applyFill="1" applyBorder="1" applyAlignment="1">
      <alignment horizontal="center" vertical="center"/>
    </xf>
    <xf numFmtId="4" fontId="18" fillId="6" borderId="18" xfId="0" applyNumberFormat="1" applyFont="1" applyFill="1" applyBorder="1" applyAlignment="1">
      <alignment vertical="center"/>
    </xf>
    <xf numFmtId="4" fontId="18" fillId="6" borderId="62" xfId="3" applyNumberFormat="1" applyFont="1" applyFill="1" applyBorder="1" applyAlignment="1">
      <alignment horizontal="center" vertical="center"/>
    </xf>
    <xf numFmtId="4" fontId="18" fillId="6" borderId="68" xfId="3" applyNumberFormat="1" applyFont="1" applyFill="1" applyBorder="1" applyAlignment="1">
      <alignment horizontal="center" vertical="center"/>
    </xf>
    <xf numFmtId="167" fontId="11" fillId="6" borderId="68" xfId="0" applyNumberFormat="1" applyFont="1" applyFill="1" applyBorder="1" applyAlignment="1">
      <alignment horizontal="right" vertical="center"/>
    </xf>
    <xf numFmtId="4" fontId="18" fillId="6" borderId="69" xfId="0" applyNumberFormat="1" applyFont="1" applyFill="1" applyBorder="1" applyAlignment="1">
      <alignment vertical="center"/>
    </xf>
    <xf numFmtId="4" fontId="11" fillId="6" borderId="69" xfId="1" applyNumberFormat="1" applyFont="1" applyFill="1" applyBorder="1" applyAlignment="1">
      <alignment horizontal="center" vertical="center" wrapText="1"/>
    </xf>
    <xf numFmtId="4" fontId="11" fillId="0" borderId="69" xfId="1" applyNumberFormat="1" applyFont="1" applyFill="1" applyBorder="1" applyAlignment="1">
      <alignment horizontal="center" vertical="center" wrapText="1"/>
    </xf>
    <xf numFmtId="4" fontId="11" fillId="0" borderId="62" xfId="1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4" fontId="11" fillId="6" borderId="26" xfId="0" applyNumberFormat="1" applyFont="1" applyFill="1" applyBorder="1" applyAlignment="1">
      <alignment horizontal="center" vertical="center" wrapText="1"/>
    </xf>
    <xf numFmtId="43" fontId="11" fillId="6" borderId="26" xfId="1" applyFont="1" applyFill="1" applyBorder="1" applyAlignment="1">
      <alignment vertical="center" wrapText="1"/>
    </xf>
    <xf numFmtId="43" fontId="11" fillId="6" borderId="26" xfId="1" applyFont="1" applyFill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1" fontId="11" fillId="0" borderId="24" xfId="0" applyNumberFormat="1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27" fillId="0" borderId="39" xfId="3" applyFont="1" applyBorder="1" applyAlignment="1">
      <alignment horizontal="center" vertical="center" wrapText="1"/>
    </xf>
    <xf numFmtId="8" fontId="13" fillId="0" borderId="39" xfId="3" applyNumberFormat="1" applyFont="1" applyBorder="1" applyAlignment="1">
      <alignment horizontal="center"/>
    </xf>
    <xf numFmtId="4" fontId="12" fillId="0" borderId="40" xfId="6" applyNumberFormat="1" applyFont="1" applyFill="1" applyBorder="1" applyAlignment="1">
      <alignment horizontal="center" vertical="center" wrapText="1"/>
    </xf>
    <xf numFmtId="164" fontId="12" fillId="6" borderId="71" xfId="3" applyNumberFormat="1" applyFont="1" applyFill="1" applyBorder="1" applyAlignment="1">
      <alignment horizontal="center" vertical="center" wrapText="1"/>
    </xf>
    <xf numFmtId="4" fontId="11" fillId="6" borderId="40" xfId="6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0" fontId="27" fillId="0" borderId="17" xfId="3" applyFont="1" applyBorder="1" applyAlignment="1">
      <alignment horizontal="center" vertical="center" wrapText="1"/>
    </xf>
    <xf numFmtId="8" fontId="13" fillId="0" borderId="17" xfId="3" applyNumberFormat="1" applyFont="1" applyBorder="1" applyAlignment="1">
      <alignment horizontal="center"/>
    </xf>
    <xf numFmtId="4" fontId="12" fillId="0" borderId="18" xfId="6" applyNumberFormat="1" applyFont="1" applyFill="1" applyBorder="1" applyAlignment="1">
      <alignment horizontal="center" vertical="center" wrapText="1"/>
    </xf>
    <xf numFmtId="164" fontId="12" fillId="6" borderId="19" xfId="3" applyNumberFormat="1" applyFont="1" applyFill="1" applyBorder="1" applyAlignment="1">
      <alignment horizontal="center" vertical="center" wrapText="1"/>
    </xf>
    <xf numFmtId="164" fontId="12" fillId="6" borderId="19" xfId="0" applyNumberFormat="1" applyFont="1" applyFill="1" applyBorder="1" applyAlignment="1">
      <alignment horizontal="center" vertical="center" wrapText="1"/>
    </xf>
    <xf numFmtId="8" fontId="13" fillId="6" borderId="17" xfId="3" applyNumberFormat="1" applyFont="1" applyFill="1" applyBorder="1" applyAlignment="1">
      <alignment horizontal="center"/>
    </xf>
    <xf numFmtId="4" fontId="12" fillId="6" borderId="18" xfId="6" applyNumberFormat="1" applyFont="1" applyFill="1" applyBorder="1" applyAlignment="1">
      <alignment horizontal="center" vertical="center" wrapText="1"/>
    </xf>
    <xf numFmtId="4" fontId="11" fillId="6" borderId="24" xfId="6" applyNumberFormat="1" applyFont="1" applyFill="1" applyBorder="1" applyAlignment="1">
      <alignment horizontal="center" vertical="center" wrapText="1"/>
    </xf>
    <xf numFmtId="1" fontId="11" fillId="0" borderId="67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8" fontId="13" fillId="0" borderId="67" xfId="3" applyNumberFormat="1" applyFont="1" applyBorder="1" applyAlignment="1">
      <alignment horizontal="center"/>
    </xf>
    <xf numFmtId="0" fontId="27" fillId="0" borderId="59" xfId="0" applyFont="1" applyBorder="1" applyAlignment="1">
      <alignment horizontal="center" vertical="center" wrapText="1"/>
    </xf>
    <xf numFmtId="8" fontId="13" fillId="0" borderId="59" xfId="3" applyNumberFormat="1" applyFont="1" applyBorder="1" applyAlignment="1">
      <alignment horizontal="center"/>
    </xf>
    <xf numFmtId="4" fontId="12" fillId="0" borderId="51" xfId="6" applyNumberFormat="1" applyFont="1" applyFill="1" applyBorder="1" applyAlignment="1">
      <alignment horizontal="center" vertical="center" wrapText="1"/>
    </xf>
    <xf numFmtId="4" fontId="11" fillId="0" borderId="40" xfId="6" applyNumberFormat="1" applyFont="1" applyFill="1" applyBorder="1" applyAlignment="1">
      <alignment horizontal="center" vertical="center" wrapText="1"/>
    </xf>
    <xf numFmtId="4" fontId="12" fillId="0" borderId="22" xfId="6" applyNumberFormat="1" applyFont="1" applyFill="1" applyBorder="1" applyAlignment="1">
      <alignment horizontal="center" vertical="center" wrapText="1"/>
    </xf>
    <xf numFmtId="8" fontId="13" fillId="0" borderId="22" xfId="0" applyNumberFormat="1" applyFont="1" applyBorder="1" applyAlignment="1">
      <alignment horizontal="center"/>
    </xf>
    <xf numFmtId="4" fontId="12" fillId="0" borderId="25" xfId="1" applyNumberFormat="1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 applyAlignment="1">
      <alignment horizontal="center" vertical="center" wrapText="1"/>
    </xf>
    <xf numFmtId="4" fontId="11" fillId="6" borderId="56" xfId="6" applyNumberFormat="1" applyFont="1" applyFill="1" applyBorder="1" applyAlignment="1">
      <alignment horizontal="center" vertical="center" wrapText="1"/>
    </xf>
    <xf numFmtId="4" fontId="11" fillId="6" borderId="59" xfId="1" applyNumberFormat="1" applyFont="1" applyFill="1" applyBorder="1" applyAlignment="1">
      <alignment horizontal="center" vertical="center" wrapText="1"/>
    </xf>
    <xf numFmtId="43" fontId="7" fillId="0" borderId="19" xfId="1" applyFont="1" applyFill="1" applyBorder="1" applyAlignment="1">
      <alignment wrapText="1"/>
    </xf>
    <xf numFmtId="43" fontId="7" fillId="0" borderId="18" xfId="1" applyFont="1" applyFill="1" applyBorder="1" applyAlignment="1">
      <alignment wrapText="1"/>
    </xf>
    <xf numFmtId="164" fontId="7" fillId="0" borderId="13" xfId="1" applyNumberFormat="1" applyFont="1" applyFill="1" applyBorder="1" applyAlignment="1">
      <alignment vertical="center" wrapText="1"/>
    </xf>
    <xf numFmtId="43" fontId="7" fillId="0" borderId="18" xfId="1" applyFont="1" applyFill="1" applyBorder="1" applyAlignment="1">
      <alignment vertical="center" wrapText="1"/>
    </xf>
    <xf numFmtId="43" fontId="7" fillId="0" borderId="13" xfId="1" applyFont="1" applyFill="1" applyBorder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39" fontId="11" fillId="0" borderId="0" xfId="0" applyNumberFormat="1" applyFont="1" applyAlignment="1">
      <alignment horizontal="center" vertical="center" wrapText="1"/>
    </xf>
    <xf numFmtId="14" fontId="8" fillId="0" borderId="23" xfId="1" applyNumberFormat="1" applyFont="1" applyFill="1" applyBorder="1" applyAlignment="1">
      <alignment horizontal="center" vertical="center" wrapText="1"/>
    </xf>
    <xf numFmtId="9" fontId="11" fillId="0" borderId="23" xfId="1" applyNumberFormat="1" applyFont="1" applyFill="1" applyBorder="1" applyAlignment="1">
      <alignment horizontal="center" vertical="center" wrapText="1"/>
    </xf>
    <xf numFmtId="4" fontId="11" fillId="6" borderId="23" xfId="6" applyNumberFormat="1" applyFont="1" applyFill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4" fontId="11" fillId="6" borderId="57" xfId="6" applyNumberFormat="1" applyFont="1" applyFill="1" applyBorder="1" applyAlignment="1">
      <alignment horizontal="center" vertical="center" wrapText="1"/>
    </xf>
    <xf numFmtId="4" fontId="11" fillId="6" borderId="61" xfId="1" applyNumberFormat="1" applyFont="1" applyFill="1" applyBorder="1" applyAlignment="1">
      <alignment horizontal="center" vertical="center" wrapText="1"/>
    </xf>
    <xf numFmtId="164" fontId="11" fillId="6" borderId="38" xfId="6" applyNumberFormat="1" applyFont="1" applyFill="1" applyBorder="1" applyAlignment="1">
      <alignment horizontal="center" vertical="center" wrapText="1"/>
    </xf>
    <xf numFmtId="164" fontId="11" fillId="6" borderId="13" xfId="6" applyNumberFormat="1" applyFont="1" applyFill="1" applyBorder="1" applyAlignment="1">
      <alignment horizontal="center" vertical="center" wrapText="1"/>
    </xf>
    <xf numFmtId="44" fontId="11" fillId="0" borderId="13" xfId="6" applyNumberFormat="1" applyFont="1" applyFill="1" applyBorder="1" applyAlignment="1">
      <alignment horizontal="center" vertical="center" wrapText="1"/>
    </xf>
    <xf numFmtId="164" fontId="11" fillId="6" borderId="6" xfId="1" applyNumberFormat="1" applyFont="1" applyFill="1" applyBorder="1" applyAlignment="1">
      <alignment horizontal="center" vertical="center" wrapText="1"/>
    </xf>
    <xf numFmtId="164" fontId="11" fillId="6" borderId="19" xfId="1" applyNumberFormat="1" applyFont="1" applyFill="1" applyBorder="1" applyAlignment="1">
      <alignment horizontal="center" vertical="center" wrapText="1"/>
    </xf>
    <xf numFmtId="164" fontId="11" fillId="6" borderId="19" xfId="6" applyNumberFormat="1" applyFont="1" applyFill="1" applyBorder="1" applyAlignment="1">
      <alignment horizontal="center" vertical="center" wrapText="1"/>
    </xf>
    <xf numFmtId="4" fontId="11" fillId="6" borderId="65" xfId="1" applyNumberFormat="1" applyFont="1" applyFill="1" applyBorder="1" applyAlignment="1">
      <alignment horizontal="center" vertical="center" wrapText="1"/>
    </xf>
    <xf numFmtId="4" fontId="11" fillId="6" borderId="52" xfId="1" applyNumberFormat="1" applyFont="1" applyFill="1" applyBorder="1" applyAlignment="1">
      <alignment horizontal="center" vertical="center" wrapText="1"/>
    </xf>
    <xf numFmtId="164" fontId="7" fillId="0" borderId="4" xfId="1" applyNumberFormat="1" applyFont="1" applyFill="1" applyBorder="1" applyAlignment="1">
      <alignment horizontal="right" vertical="center" wrapText="1"/>
    </xf>
    <xf numFmtId="164" fontId="11" fillId="6" borderId="38" xfId="1" applyNumberFormat="1" applyFont="1" applyFill="1" applyBorder="1" applyAlignment="1">
      <alignment horizontal="right" wrapText="1"/>
    </xf>
    <xf numFmtId="164" fontId="11" fillId="6" borderId="40" xfId="1" applyNumberFormat="1" applyFont="1" applyFill="1" applyBorder="1" applyAlignment="1">
      <alignment horizontal="right" wrapText="1"/>
    </xf>
    <xf numFmtId="4" fontId="11" fillId="0" borderId="62" xfId="2" applyNumberFormat="1" applyFont="1" applyFill="1" applyBorder="1" applyAlignment="1">
      <alignment horizontal="right" vertical="center" wrapText="1"/>
    </xf>
    <xf numFmtId="4" fontId="11" fillId="0" borderId="69" xfId="2" applyNumberFormat="1" applyFont="1" applyFill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43" fontId="8" fillId="6" borderId="17" xfId="1" applyFont="1" applyFill="1" applyBorder="1" applyAlignment="1">
      <alignment horizontal="center" vertical="center" wrapText="1"/>
    </xf>
    <xf numFmtId="0" fontId="2" fillId="0" borderId="2" xfId="7" applyFont="1" applyBorder="1" applyAlignment="1">
      <alignment horizontal="center" vertical="center" wrapText="1"/>
    </xf>
    <xf numFmtId="0" fontId="3" fillId="2" borderId="1" xfId="7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 wrapText="1"/>
    </xf>
    <xf numFmtId="0" fontId="4" fillId="3" borderId="0" xfId="7" applyFont="1" applyFill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center" vertical="center" wrapText="1"/>
    </xf>
    <xf numFmtId="0" fontId="5" fillId="0" borderId="0" xfId="7" applyFont="1" applyAlignment="1">
      <alignment horizontal="right" vertical="center" wrapText="1"/>
    </xf>
    <xf numFmtId="14" fontId="7" fillId="0" borderId="29" xfId="7" applyNumberFormat="1" applyFont="1" applyBorder="1" applyAlignment="1">
      <alignment horizontal="center" vertical="center" wrapText="1"/>
    </xf>
    <xf numFmtId="0" fontId="8" fillId="0" borderId="0" xfId="7" applyFont="1" applyAlignment="1">
      <alignment horizontal="center" vertical="center" wrapText="1"/>
    </xf>
    <xf numFmtId="1" fontId="5" fillId="0" borderId="4" xfId="7" applyNumberFormat="1" applyFont="1" applyBorder="1" applyAlignment="1">
      <alignment horizontal="center" vertical="center" wrapText="1"/>
    </xf>
    <xf numFmtId="1" fontId="5" fillId="0" borderId="0" xfId="7" applyNumberFormat="1" applyFont="1" applyAlignment="1">
      <alignment horizontal="center" vertical="center" wrapText="1"/>
    </xf>
    <xf numFmtId="1" fontId="9" fillId="0" borderId="0" xfId="7" applyNumberFormat="1" applyFont="1" applyAlignment="1">
      <alignment vertical="center" wrapText="1"/>
    </xf>
    <xf numFmtId="0" fontId="5" fillId="0" borderId="0" xfId="7" applyFont="1" applyAlignment="1">
      <alignment horizontal="center" vertical="center" wrapText="1"/>
    </xf>
    <xf numFmtId="164" fontId="5" fillId="0" borderId="0" xfId="7" applyNumberFormat="1" applyFont="1" applyAlignment="1">
      <alignment vertical="center" wrapText="1"/>
    </xf>
    <xf numFmtId="43" fontId="8" fillId="0" borderId="0" xfId="7" applyNumberFormat="1" applyFont="1" applyAlignment="1">
      <alignment horizontal="center" vertical="center" wrapText="1"/>
    </xf>
    <xf numFmtId="0" fontId="5" fillId="0" borderId="0" xfId="7" applyFont="1" applyAlignment="1">
      <alignment horizontal="left" vertical="center" wrapText="1"/>
    </xf>
    <xf numFmtId="0" fontId="9" fillId="0" borderId="0" xfId="7" applyFont="1" applyAlignment="1">
      <alignment horizontal="center" vertical="center" wrapText="1"/>
    </xf>
    <xf numFmtId="0" fontId="7" fillId="0" borderId="2" xfId="7" applyFont="1" applyBorder="1" applyAlignment="1">
      <alignment horizontal="center" vertical="center" wrapText="1"/>
    </xf>
    <xf numFmtId="0" fontId="7" fillId="0" borderId="7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  <xf numFmtId="0" fontId="7" fillId="0" borderId="9" xfId="7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 wrapText="1"/>
    </xf>
    <xf numFmtId="0" fontId="7" fillId="6" borderId="7" xfId="7" applyFont="1" applyFill="1" applyBorder="1" applyAlignment="1">
      <alignment horizontal="center" vertical="center" wrapText="1"/>
    </xf>
    <xf numFmtId="0" fontId="7" fillId="6" borderId="8" xfId="7" applyFont="1" applyFill="1" applyBorder="1" applyAlignment="1">
      <alignment horizontal="center" vertical="center" wrapText="1"/>
    </xf>
    <xf numFmtId="1" fontId="11" fillId="0" borderId="13" xfId="7" applyNumberFormat="1" applyFont="1" applyBorder="1" applyAlignment="1">
      <alignment horizontal="center" vertical="center" wrapText="1"/>
    </xf>
    <xf numFmtId="4" fontId="18" fillId="6" borderId="17" xfId="8" applyNumberFormat="1" applyFont="1" applyFill="1" applyBorder="1" applyAlignment="1">
      <alignment horizontal="center" vertical="center"/>
    </xf>
    <xf numFmtId="167" fontId="18" fillId="6" borderId="17" xfId="8" applyNumberFormat="1" applyFont="1" applyFill="1" applyBorder="1" applyAlignment="1">
      <alignment horizontal="right" vertical="center"/>
    </xf>
    <xf numFmtId="4" fontId="18" fillId="6" borderId="18" xfId="7" applyNumberFormat="1" applyFont="1" applyFill="1" applyBorder="1" applyAlignment="1">
      <alignment vertical="center"/>
    </xf>
    <xf numFmtId="164" fontId="11" fillId="6" borderId="13" xfId="7" applyNumberFormat="1" applyFont="1" applyFill="1" applyBorder="1"/>
    <xf numFmtId="164" fontId="11" fillId="6" borderId="18" xfId="6" applyNumberFormat="1" applyFont="1" applyFill="1" applyBorder="1" applyAlignment="1">
      <alignment horizontal="right" wrapText="1"/>
    </xf>
    <xf numFmtId="17" fontId="13" fillId="0" borderId="24" xfId="7" applyNumberFormat="1" applyFont="1" applyBorder="1" applyAlignment="1">
      <alignment horizontal="center" vertical="center"/>
    </xf>
    <xf numFmtId="17" fontId="13" fillId="0" borderId="22" xfId="7" applyNumberFormat="1" applyFont="1" applyBorder="1" applyAlignment="1">
      <alignment horizontal="center" vertical="center"/>
    </xf>
    <xf numFmtId="0" fontId="1" fillId="0" borderId="13" xfId="7" applyBorder="1"/>
    <xf numFmtId="0" fontId="1" fillId="0" borderId="18" xfId="7" applyBorder="1"/>
    <xf numFmtId="0" fontId="14" fillId="0" borderId="24" xfId="7" applyFont="1" applyBorder="1" applyAlignment="1">
      <alignment horizontal="center" vertical="center"/>
    </xf>
    <xf numFmtId="0" fontId="14" fillId="0" borderId="22" xfId="7" applyFont="1" applyBorder="1" applyAlignment="1">
      <alignment horizontal="center" vertical="center"/>
    </xf>
    <xf numFmtId="1" fontId="11" fillId="0" borderId="23" xfId="7" applyNumberFormat="1" applyFont="1" applyBorder="1" applyAlignment="1">
      <alignment horizontal="center" vertical="center" wrapText="1"/>
    </xf>
    <xf numFmtId="167" fontId="11" fillId="6" borderId="17" xfId="7" applyNumberFormat="1" applyFont="1" applyFill="1" applyBorder="1" applyAlignment="1">
      <alignment horizontal="right" vertical="center"/>
    </xf>
    <xf numFmtId="4" fontId="11" fillId="6" borderId="13" xfId="6" applyNumberFormat="1" applyFont="1" applyFill="1" applyBorder="1" applyAlignment="1">
      <alignment horizontal="right" vertical="center" wrapText="1"/>
    </xf>
    <xf numFmtId="167" fontId="11" fillId="6" borderId="17" xfId="7" applyNumberFormat="1" applyFont="1" applyFill="1" applyBorder="1" applyAlignment="1">
      <alignment horizontal="center" vertical="center"/>
    </xf>
    <xf numFmtId="4" fontId="11" fillId="6" borderId="29" xfId="7" applyNumberFormat="1" applyFont="1" applyFill="1" applyBorder="1" applyAlignment="1">
      <alignment horizontal="center" vertical="center" wrapText="1"/>
    </xf>
    <xf numFmtId="164" fontId="11" fillId="6" borderId="24" xfId="7" applyNumberFormat="1" applyFont="1" applyFill="1" applyBorder="1"/>
    <xf numFmtId="164" fontId="11" fillId="6" borderId="29" xfId="6" applyNumberFormat="1" applyFont="1" applyFill="1" applyBorder="1" applyAlignment="1">
      <alignment horizontal="right" wrapText="1"/>
    </xf>
    <xf numFmtId="43" fontId="11" fillId="6" borderId="4" xfId="6" applyFont="1" applyFill="1" applyBorder="1" applyAlignment="1">
      <alignment vertical="center" wrapText="1"/>
    </xf>
    <xf numFmtId="43" fontId="11" fillId="6" borderId="29" xfId="6" applyFont="1" applyFill="1" applyBorder="1" applyAlignment="1">
      <alignment vertical="center" wrapText="1"/>
    </xf>
    <xf numFmtId="43" fontId="11" fillId="6" borderId="4" xfId="6" applyFont="1" applyFill="1" applyBorder="1" applyAlignment="1">
      <alignment horizontal="center" vertical="center" wrapText="1"/>
    </xf>
    <xf numFmtId="43" fontId="11" fillId="6" borderId="29" xfId="6" applyFont="1" applyFill="1" applyBorder="1" applyAlignment="1">
      <alignment horizontal="center" vertical="center" wrapText="1"/>
    </xf>
    <xf numFmtId="43" fontId="11" fillId="0" borderId="0" xfId="6" applyFont="1" applyFill="1" applyBorder="1" applyAlignment="1">
      <alignment horizontal="center" vertical="center" wrapText="1"/>
    </xf>
    <xf numFmtId="0" fontId="3" fillId="0" borderId="12" xfId="7" applyFont="1" applyBorder="1" applyAlignment="1">
      <alignment vertical="center" wrapText="1"/>
    </xf>
    <xf numFmtId="0" fontId="3" fillId="0" borderId="0" xfId="7" applyFont="1" applyAlignment="1">
      <alignment vertical="center" wrapText="1"/>
    </xf>
    <xf numFmtId="0" fontId="3" fillId="0" borderId="33" xfId="7" applyFont="1" applyBorder="1" applyAlignment="1">
      <alignment vertical="center" wrapText="1"/>
    </xf>
    <xf numFmtId="4" fontId="11" fillId="0" borderId="32" xfId="7" applyNumberFormat="1" applyFont="1" applyBorder="1" applyAlignment="1">
      <alignment horizontal="center" vertical="center" wrapText="1"/>
    </xf>
    <xf numFmtId="4" fontId="11" fillId="0" borderId="23" xfId="9" applyNumberFormat="1" applyFont="1" applyFill="1" applyBorder="1" applyAlignment="1">
      <alignment horizontal="right" vertical="center" wrapText="1"/>
    </xf>
    <xf numFmtId="4" fontId="11" fillId="0" borderId="25" xfId="9" applyNumberFormat="1" applyFont="1" applyFill="1" applyBorder="1" applyAlignment="1">
      <alignment horizontal="right" vertical="center" wrapText="1"/>
    </xf>
    <xf numFmtId="4" fontId="11" fillId="0" borderId="0" xfId="9" applyNumberFormat="1" applyFont="1" applyFill="1" applyBorder="1" applyAlignment="1">
      <alignment horizontal="right" vertical="center" wrapText="1"/>
    </xf>
    <xf numFmtId="4" fontId="11" fillId="0" borderId="69" xfId="7" applyNumberFormat="1" applyFont="1" applyBorder="1" applyAlignment="1">
      <alignment horizontal="center" vertical="center" wrapText="1"/>
    </xf>
    <xf numFmtId="43" fontId="7" fillId="0" borderId="23" xfId="6" applyFont="1" applyFill="1" applyBorder="1" applyAlignment="1">
      <alignment horizontal="center" vertical="center" wrapText="1"/>
    </xf>
    <xf numFmtId="43" fontId="7" fillId="0" borderId="22" xfId="6" applyFont="1" applyFill="1" applyBorder="1" applyAlignment="1">
      <alignment horizontal="center" vertical="center" wrapText="1"/>
    </xf>
    <xf numFmtId="0" fontId="3" fillId="0" borderId="27" xfId="7" applyFont="1" applyBorder="1" applyAlignment="1">
      <alignment vertical="center" wrapText="1"/>
    </xf>
    <xf numFmtId="0" fontId="3" fillId="0" borderId="28" xfId="7" applyFont="1" applyBorder="1" applyAlignment="1">
      <alignment vertical="center" wrapText="1"/>
    </xf>
    <xf numFmtId="0" fontId="3" fillId="0" borderId="16" xfId="7" applyFont="1" applyBorder="1" applyAlignment="1">
      <alignment vertical="center" wrapText="1"/>
    </xf>
    <xf numFmtId="43" fontId="8" fillId="0" borderId="36" xfId="6" applyFont="1" applyFill="1" applyBorder="1" applyAlignment="1">
      <alignment horizontal="center" vertical="center" wrapText="1"/>
    </xf>
    <xf numFmtId="43" fontId="8" fillId="0" borderId="35" xfId="6" applyFont="1" applyFill="1" applyBorder="1" applyAlignment="1">
      <alignment horizontal="center" vertical="center" wrapText="1"/>
    </xf>
    <xf numFmtId="4" fontId="16" fillId="0" borderId="0" xfId="6" applyNumberFormat="1" applyFont="1" applyFill="1" applyBorder="1" applyAlignment="1">
      <alignment horizontal="center" vertical="center" wrapText="1"/>
    </xf>
    <xf numFmtId="43" fontId="3" fillId="0" borderId="0" xfId="6" applyFont="1" applyFill="1" applyBorder="1" applyAlignment="1">
      <alignment horizontal="center" vertical="center" wrapText="1"/>
    </xf>
    <xf numFmtId="43" fontId="8" fillId="0" borderId="24" xfId="6" applyFont="1" applyFill="1" applyBorder="1" applyAlignment="1">
      <alignment horizontal="center" vertical="center" wrapText="1"/>
    </xf>
    <xf numFmtId="1" fontId="8" fillId="0" borderId="22" xfId="6" applyNumberFormat="1" applyFont="1" applyFill="1" applyBorder="1" applyAlignment="1">
      <alignment horizontal="center" vertical="center" wrapText="1"/>
    </xf>
    <xf numFmtId="1" fontId="3" fillId="0" borderId="0" xfId="6" applyNumberFormat="1" applyFont="1" applyFill="1" applyBorder="1" applyAlignment="1">
      <alignment horizontal="center" vertical="center" wrapText="1"/>
    </xf>
    <xf numFmtId="4" fontId="11" fillId="11" borderId="22" xfId="9" applyNumberFormat="1" applyFont="1" applyFill="1" applyBorder="1" applyAlignment="1">
      <alignment horizontal="center" vertical="center" wrapText="1"/>
    </xf>
    <xf numFmtId="4" fontId="11" fillId="0" borderId="24" xfId="6" applyNumberFormat="1" applyFont="1" applyFill="1" applyBorder="1" applyAlignment="1">
      <alignment horizontal="center" vertical="center" wrapText="1"/>
    </xf>
    <xf numFmtId="4" fontId="3" fillId="0" borderId="0" xfId="9" applyNumberFormat="1" applyFont="1" applyFill="1" applyBorder="1" applyAlignment="1">
      <alignment horizontal="center" vertical="center" wrapText="1"/>
    </xf>
    <xf numFmtId="2" fontId="3" fillId="0" borderId="0" xfId="9" applyNumberFormat="1" applyFont="1" applyFill="1" applyBorder="1" applyAlignment="1">
      <alignment horizontal="center" vertical="center" wrapText="1"/>
    </xf>
    <xf numFmtId="4" fontId="3" fillId="0" borderId="0" xfId="6" applyNumberFormat="1" applyFont="1" applyFill="1" applyBorder="1" applyAlignment="1">
      <alignment horizontal="center" vertical="center" wrapText="1"/>
    </xf>
    <xf numFmtId="14" fontId="3" fillId="0" borderId="0" xfId="6" applyNumberFormat="1" applyFont="1" applyFill="1" applyBorder="1" applyAlignment="1">
      <alignment horizontal="center" vertical="center" wrapText="1"/>
    </xf>
    <xf numFmtId="1" fontId="8" fillId="0" borderId="17" xfId="6" applyNumberFormat="1" applyFont="1" applyFill="1" applyBorder="1" applyAlignment="1">
      <alignment horizontal="center" vertical="center" wrapText="1"/>
    </xf>
    <xf numFmtId="14" fontId="8" fillId="0" borderId="19" xfId="6" applyNumberFormat="1" applyFont="1" applyFill="1" applyBorder="1" applyAlignment="1">
      <alignment horizontal="center" vertical="center" wrapText="1"/>
    </xf>
    <xf numFmtId="43" fontId="8" fillId="0" borderId="23" xfId="6" applyFont="1" applyFill="1" applyBorder="1" applyAlignment="1">
      <alignment horizontal="center" vertical="center" wrapText="1"/>
    </xf>
    <xf numFmtId="43" fontId="8" fillId="0" borderId="61" xfId="6" applyFont="1" applyFill="1" applyBorder="1" applyAlignment="1">
      <alignment horizontal="center" vertical="center" wrapText="1"/>
    </xf>
    <xf numFmtId="0" fontId="5" fillId="0" borderId="0" xfId="7" applyFont="1" applyAlignment="1">
      <alignment horizontal="center" wrapText="1"/>
    </xf>
    <xf numFmtId="0" fontId="5" fillId="0" borderId="0" xfId="7" applyFont="1" applyAlignment="1">
      <alignment horizontal="left"/>
    </xf>
    <xf numFmtId="0" fontId="8" fillId="0" borderId="0" xfId="7" applyFont="1" applyAlignment="1">
      <alignment horizontal="center" wrapText="1"/>
    </xf>
    <xf numFmtId="0" fontId="5" fillId="0" borderId="0" xfId="7" applyFont="1" applyAlignment="1">
      <alignment horizontal="center"/>
    </xf>
    <xf numFmtId="0" fontId="5" fillId="0" borderId="0" xfId="7" applyFont="1"/>
    <xf numFmtId="164" fontId="5" fillId="0" borderId="0" xfId="7" applyNumberFormat="1" applyFont="1"/>
    <xf numFmtId="0" fontId="9" fillId="0" borderId="0" xfId="7" applyFont="1"/>
    <xf numFmtId="0" fontId="9" fillId="0" borderId="0" xfId="7" applyFont="1" applyAlignment="1">
      <alignment horizontal="left" vertical="center" wrapText="1"/>
    </xf>
    <xf numFmtId="0" fontId="3" fillId="0" borderId="0" xfId="7" applyFont="1" applyAlignment="1">
      <alignment horizontal="left" vertical="center" wrapText="1"/>
    </xf>
    <xf numFmtId="2" fontId="8" fillId="0" borderId="0" xfId="7" applyNumberFormat="1" applyFont="1" applyAlignment="1">
      <alignment horizontal="center" vertical="center" wrapText="1"/>
    </xf>
    <xf numFmtId="0" fontId="9" fillId="3" borderId="17" xfId="7" applyFont="1" applyFill="1" applyBorder="1" applyAlignment="1">
      <alignment horizontal="center" vertical="center" wrapText="1"/>
    </xf>
    <xf numFmtId="0" fontId="5" fillId="2" borderId="0" xfId="7" applyFont="1" applyFill="1" applyAlignment="1">
      <alignment horizontal="center" vertical="center" wrapText="1"/>
    </xf>
    <xf numFmtId="14" fontId="5" fillId="2" borderId="43" xfId="7" applyNumberFormat="1" applyFont="1" applyFill="1" applyBorder="1" applyAlignment="1">
      <alignment horizontal="center" vertical="center" wrapText="1"/>
    </xf>
    <xf numFmtId="165" fontId="5" fillId="0" borderId="0" xfId="7" applyNumberFormat="1" applyFont="1" applyAlignment="1">
      <alignment horizontal="center" vertical="center" wrapText="1"/>
    </xf>
    <xf numFmtId="0" fontId="1" fillId="0" borderId="0" xfId="7"/>
    <xf numFmtId="8" fontId="1" fillId="0" borderId="0" xfId="7" applyNumberFormat="1"/>
    <xf numFmtId="0" fontId="16" fillId="0" borderId="19" xfId="7" applyFont="1" applyBorder="1" applyAlignment="1">
      <alignment horizontal="center" vertical="center" wrapText="1"/>
    </xf>
    <xf numFmtId="0" fontId="5" fillId="2" borderId="44" xfId="7" applyFont="1" applyFill="1" applyBorder="1" applyAlignment="1">
      <alignment horizontal="right" vertical="center" wrapText="1"/>
    </xf>
    <xf numFmtId="2" fontId="5" fillId="2" borderId="45" xfId="7" applyNumberFormat="1" applyFont="1" applyFill="1" applyBorder="1" applyAlignment="1">
      <alignment horizontal="center" vertical="center" wrapText="1"/>
    </xf>
    <xf numFmtId="0" fontId="16" fillId="0" borderId="46" xfId="7" applyFont="1" applyBorder="1" applyAlignment="1">
      <alignment vertical="center"/>
    </xf>
    <xf numFmtId="0" fontId="16" fillId="0" borderId="4" xfId="7" applyFont="1" applyBorder="1" applyAlignment="1">
      <alignment vertical="center" wrapText="1"/>
    </xf>
    <xf numFmtId="0" fontId="16" fillId="0" borderId="47" xfId="7" applyFont="1" applyBorder="1" applyAlignment="1">
      <alignment vertical="center" wrapText="1"/>
    </xf>
    <xf numFmtId="0" fontId="16" fillId="0" borderId="15" xfId="7" applyFont="1" applyBorder="1" applyAlignment="1">
      <alignment horizontal="center" vertical="center" wrapText="1"/>
    </xf>
    <xf numFmtId="0" fontId="16" fillId="0" borderId="21" xfId="7" applyFont="1" applyBorder="1" applyAlignment="1">
      <alignment vertical="center"/>
    </xf>
    <xf numFmtId="0" fontId="16" fillId="0" borderId="23" xfId="7" applyFont="1" applyBorder="1" applyAlignment="1">
      <alignment vertical="center" wrapText="1"/>
    </xf>
    <xf numFmtId="0" fontId="16" fillId="0" borderId="19" xfId="7" applyFont="1" applyBorder="1" applyAlignment="1">
      <alignment vertical="center" wrapText="1"/>
    </xf>
    <xf numFmtId="0" fontId="16" fillId="0" borderId="17" xfId="7" applyFont="1" applyBorder="1" applyAlignment="1">
      <alignment horizontal="center" vertical="center" wrapText="1"/>
    </xf>
    <xf numFmtId="0" fontId="3" fillId="0" borderId="0" xfId="7" applyFont="1" applyAlignment="1">
      <alignment horizontal="left" vertical="center"/>
    </xf>
    <xf numFmtId="0" fontId="11" fillId="0" borderId="0" xfId="7" applyFont="1" applyAlignment="1">
      <alignment horizontal="center" vertical="center" wrapText="1"/>
    </xf>
    <xf numFmtId="2" fontId="12" fillId="0" borderId="0" xfId="7" applyNumberFormat="1" applyFont="1" applyAlignment="1">
      <alignment horizontal="center" vertical="center" wrapText="1"/>
    </xf>
    <xf numFmtId="0" fontId="16" fillId="0" borderId="21" xfId="7" applyFont="1" applyBorder="1" applyAlignment="1">
      <alignment vertical="center" wrapText="1"/>
    </xf>
    <xf numFmtId="0" fontId="16" fillId="0" borderId="50" xfId="7" applyFont="1" applyBorder="1" applyAlignment="1">
      <alignment horizontal="center" vertical="center" wrapText="1"/>
    </xf>
    <xf numFmtId="0" fontId="15" fillId="0" borderId="35" xfId="7" applyFont="1" applyBorder="1" applyAlignment="1">
      <alignment horizontal="center" vertical="center" wrapText="1"/>
    </xf>
    <xf numFmtId="0" fontId="16" fillId="4" borderId="17" xfId="7" applyFont="1" applyFill="1" applyBorder="1" applyAlignment="1">
      <alignment horizontal="center" vertical="center" wrapText="1"/>
    </xf>
    <xf numFmtId="43" fontId="12" fillId="6" borderId="35" xfId="1" applyFont="1" applyFill="1" applyBorder="1" applyAlignment="1">
      <alignment horizontal="center" vertical="center" wrapText="1"/>
    </xf>
    <xf numFmtId="43" fontId="3" fillId="0" borderId="23" xfId="1" applyFont="1" applyFill="1" applyBorder="1" applyAlignment="1">
      <alignment horizontal="center" vertical="center" wrapText="1"/>
    </xf>
    <xf numFmtId="4" fontId="11" fillId="8" borderId="23" xfId="1" applyNumberFormat="1" applyFont="1" applyFill="1" applyBorder="1" applyAlignment="1">
      <alignment horizontal="center" vertical="center" wrapText="1"/>
    </xf>
    <xf numFmtId="43" fontId="7" fillId="0" borderId="23" xfId="1" applyFont="1" applyFill="1" applyBorder="1" applyAlignment="1">
      <alignment vertical="center" wrapText="1"/>
    </xf>
    <xf numFmtId="1" fontId="8" fillId="0" borderId="35" xfId="1" applyNumberFormat="1" applyFont="1" applyFill="1" applyBorder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 wrapText="1"/>
    </xf>
    <xf numFmtId="164" fontId="12" fillId="6" borderId="38" xfId="3" applyNumberFormat="1" applyFont="1" applyFill="1" applyBorder="1" applyAlignment="1">
      <alignment horizontal="center" vertical="center" wrapText="1"/>
    </xf>
    <xf numFmtId="168" fontId="32" fillId="12" borderId="74" xfId="0" applyNumberFormat="1" applyFont="1" applyFill="1" applyBorder="1" applyAlignment="1">
      <alignment horizontal="center"/>
    </xf>
    <xf numFmtId="4" fontId="11" fillId="6" borderId="60" xfId="1" applyNumberFormat="1" applyFont="1" applyFill="1" applyBorder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 wrapText="1"/>
    </xf>
    <xf numFmtId="4" fontId="11" fillId="6" borderId="5" xfId="6" applyNumberFormat="1" applyFont="1" applyFill="1" applyBorder="1" applyAlignment="1">
      <alignment horizontal="center" vertical="center" wrapText="1"/>
    </xf>
    <xf numFmtId="4" fontId="11" fillId="6" borderId="51" xfId="6" applyNumberFormat="1" applyFont="1" applyFill="1" applyBorder="1" applyAlignment="1">
      <alignment horizontal="center" vertical="center" wrapText="1"/>
    </xf>
    <xf numFmtId="10" fontId="8" fillId="0" borderId="13" xfId="7" applyNumberFormat="1" applyFont="1" applyBorder="1" applyAlignment="1">
      <alignment horizontal="center" vertical="center" wrapText="1"/>
    </xf>
    <xf numFmtId="10" fontId="8" fillId="0" borderId="17" xfId="7" applyNumberFormat="1" applyFont="1" applyBorder="1" applyAlignment="1">
      <alignment horizontal="center" vertical="center" wrapText="1"/>
    </xf>
    <xf numFmtId="9" fontId="11" fillId="0" borderId="22" xfId="1" applyNumberFormat="1" applyFont="1" applyFill="1" applyBorder="1" applyAlignment="1">
      <alignment horizontal="center" vertical="center" wrapText="1"/>
    </xf>
    <xf numFmtId="1" fontId="8" fillId="0" borderId="24" xfId="1" applyNumberFormat="1" applyFont="1" applyFill="1" applyBorder="1" applyAlignment="1">
      <alignment horizontal="center" vertical="center" wrapText="1"/>
    </xf>
    <xf numFmtId="14" fontId="8" fillId="0" borderId="24" xfId="1" applyNumberFormat="1" applyFont="1" applyFill="1" applyBorder="1" applyAlignment="1">
      <alignment horizontal="center" vertical="center" wrapText="1"/>
    </xf>
    <xf numFmtId="14" fontId="8" fillId="0" borderId="22" xfId="1" applyNumberFormat="1" applyFont="1" applyFill="1" applyBorder="1" applyAlignment="1">
      <alignment horizontal="center" vertical="center" wrapText="1"/>
    </xf>
    <xf numFmtId="4" fontId="11" fillId="6" borderId="20" xfId="6" applyNumberFormat="1" applyFont="1" applyFill="1" applyBorder="1" applyAlignment="1">
      <alignment horizontal="center" vertical="center" wrapText="1"/>
    </xf>
    <xf numFmtId="4" fontId="11" fillId="6" borderId="4" xfId="2" applyNumberFormat="1" applyFont="1" applyFill="1" applyBorder="1" applyAlignment="1">
      <alignment horizontal="right" vertical="center" wrapText="1"/>
    </xf>
    <xf numFmtId="43" fontId="7" fillId="6" borderId="23" xfId="1" applyFont="1" applyFill="1" applyBorder="1" applyAlignment="1">
      <alignment horizontal="right" vertical="center" wrapText="1"/>
    </xf>
    <xf numFmtId="164" fontId="7" fillId="6" borderId="23" xfId="1" applyNumberFormat="1" applyFont="1" applyFill="1" applyBorder="1" applyAlignment="1">
      <alignment horizontal="right" vertical="center" wrapText="1"/>
    </xf>
    <xf numFmtId="0" fontId="5" fillId="0" borderId="27" xfId="0" applyFont="1" applyBorder="1" applyAlignment="1">
      <alignment vertical="center" wrapText="1"/>
    </xf>
    <xf numFmtId="1" fontId="5" fillId="0" borderId="26" xfId="0" applyNumberFormat="1" applyFont="1" applyBorder="1" applyAlignment="1">
      <alignment vertical="center" wrapText="1"/>
    </xf>
    <xf numFmtId="43" fontId="8" fillId="0" borderId="38" xfId="1" applyFont="1" applyFill="1" applyBorder="1" applyAlignment="1">
      <alignment horizontal="center" vertical="center" wrapText="1"/>
    </xf>
    <xf numFmtId="43" fontId="8" fillId="0" borderId="13" xfId="1" applyFont="1" applyFill="1" applyBorder="1" applyAlignment="1">
      <alignment horizontal="center" vertical="center" wrapText="1"/>
    </xf>
    <xf numFmtId="43" fontId="8" fillId="0" borderId="62" xfId="1" applyFont="1" applyFill="1" applyBorder="1" applyAlignment="1">
      <alignment horizontal="center" vertical="center" wrapText="1"/>
    </xf>
    <xf numFmtId="37" fontId="8" fillId="0" borderId="64" xfId="1" applyNumberFormat="1" applyFont="1" applyFill="1" applyBorder="1" applyAlignment="1">
      <alignment horizontal="center" vertical="center" wrapText="1"/>
    </xf>
    <xf numFmtId="37" fontId="8" fillId="0" borderId="21" xfId="1" applyNumberFormat="1" applyFont="1" applyFill="1" applyBorder="1" applyAlignment="1">
      <alignment horizontal="center" vertical="center" wrapText="1"/>
    </xf>
    <xf numFmtId="37" fontId="8" fillId="0" borderId="63" xfId="1" applyNumberFormat="1" applyFont="1" applyFill="1" applyBorder="1" applyAlignment="1">
      <alignment horizontal="center" vertical="center" wrapText="1"/>
    </xf>
    <xf numFmtId="1" fontId="5" fillId="0" borderId="28" xfId="0" applyNumberFormat="1" applyFont="1" applyBorder="1" applyAlignment="1">
      <alignment vertical="center" wrapText="1"/>
    </xf>
    <xf numFmtId="37" fontId="8" fillId="0" borderId="38" xfId="1" applyNumberFormat="1" applyFont="1" applyFill="1" applyBorder="1" applyAlignment="1">
      <alignment horizontal="center" vertical="center" wrapText="1"/>
    </xf>
    <xf numFmtId="37" fontId="8" fillId="0" borderId="13" xfId="1" applyNumberFormat="1" applyFont="1" applyFill="1" applyBorder="1" applyAlignment="1">
      <alignment horizontal="center" vertical="center" wrapText="1"/>
    </xf>
    <xf numFmtId="37" fontId="8" fillId="0" borderId="62" xfId="1" applyNumberFormat="1" applyFont="1" applyFill="1" applyBorder="1" applyAlignment="1">
      <alignment horizontal="center" vertical="center" wrapText="1"/>
    </xf>
    <xf numFmtId="37" fontId="8" fillId="0" borderId="16" xfId="1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43" fontId="8" fillId="0" borderId="38" xfId="1" applyFont="1" applyFill="1" applyBorder="1" applyAlignment="1">
      <alignment vertical="center" wrapText="1"/>
    </xf>
    <xf numFmtId="43" fontId="8" fillId="0" borderId="62" xfId="1" applyFont="1" applyFill="1" applyBorder="1" applyAlignment="1">
      <alignment vertical="center" wrapText="1"/>
    </xf>
    <xf numFmtId="0" fontId="5" fillId="0" borderId="28" xfId="0" applyFont="1" applyBorder="1"/>
    <xf numFmtId="0" fontId="7" fillId="0" borderId="26" xfId="0" applyFont="1" applyBorder="1" applyAlignment="1">
      <alignment horizontal="right" vertical="center" wrapText="1"/>
    </xf>
    <xf numFmtId="43" fontId="8" fillId="0" borderId="40" xfId="1" applyFont="1" applyFill="1" applyBorder="1" applyAlignment="1">
      <alignment horizontal="center" vertical="center" wrapText="1"/>
    </xf>
    <xf numFmtId="43" fontId="8" fillId="0" borderId="18" xfId="1" applyFont="1" applyFill="1" applyBorder="1" applyAlignment="1">
      <alignment horizontal="center" vertical="center" wrapText="1"/>
    </xf>
    <xf numFmtId="43" fontId="8" fillId="0" borderId="69" xfId="1" applyFont="1" applyFill="1" applyBorder="1" applyAlignment="1">
      <alignment horizontal="center" vertical="center" wrapText="1"/>
    </xf>
    <xf numFmtId="9" fontId="8" fillId="0" borderId="23" xfId="1" applyNumberFormat="1" applyFont="1" applyFill="1" applyBorder="1" applyAlignment="1">
      <alignment horizontal="center" vertical="center" wrapText="1"/>
    </xf>
    <xf numFmtId="9" fontId="11" fillId="9" borderId="4" xfId="1" applyNumberFormat="1" applyFont="1" applyFill="1" applyBorder="1" applyAlignment="1">
      <alignment horizontal="center" vertical="center" wrapText="1"/>
    </xf>
    <xf numFmtId="1" fontId="11" fillId="6" borderId="24" xfId="1" applyNumberFormat="1" applyFont="1" applyFill="1" applyBorder="1" applyAlignment="1">
      <alignment horizontal="center" vertical="center" wrapText="1"/>
    </xf>
    <xf numFmtId="166" fontId="8" fillId="0" borderId="24" xfId="1" applyNumberFormat="1" applyFont="1" applyFill="1" applyBorder="1" applyAlignment="1">
      <alignment horizontal="center" vertical="center" wrapText="1"/>
    </xf>
    <xf numFmtId="37" fontId="8" fillId="0" borderId="37" xfId="1" applyNumberFormat="1" applyFont="1" applyFill="1" applyBorder="1" applyAlignment="1">
      <alignment horizontal="center" vertical="center" wrapText="1"/>
    </xf>
    <xf numFmtId="37" fontId="8" fillId="0" borderId="36" xfId="1" applyNumberFormat="1" applyFont="1" applyFill="1" applyBorder="1" applyAlignment="1">
      <alignment horizontal="center" vertical="center" wrapText="1"/>
    </xf>
    <xf numFmtId="37" fontId="8" fillId="0" borderId="12" xfId="1" applyNumberFormat="1" applyFont="1" applyFill="1" applyBorder="1" applyAlignment="1">
      <alignment horizontal="center" vertical="center" wrapText="1"/>
    </xf>
    <xf numFmtId="37" fontId="8" fillId="0" borderId="27" xfId="1" applyNumberFormat="1" applyFont="1" applyFill="1" applyBorder="1" applyAlignment="1">
      <alignment horizontal="center" vertical="center" wrapText="1"/>
    </xf>
    <xf numFmtId="1" fontId="5" fillId="6" borderId="29" xfId="0" applyNumberFormat="1" applyFont="1" applyFill="1" applyBorder="1" applyAlignment="1">
      <alignment horizontal="center" vertical="center" wrapText="1"/>
    </xf>
    <xf numFmtId="0" fontId="5" fillId="0" borderId="31" xfId="7" applyFont="1" applyBorder="1" applyAlignment="1">
      <alignment horizontal="right" vertical="center" wrapText="1"/>
    </xf>
    <xf numFmtId="0" fontId="5" fillId="0" borderId="15" xfId="7" applyFont="1" applyBorder="1" applyAlignment="1">
      <alignment horizontal="right" vertical="center" wrapText="1"/>
    </xf>
    <xf numFmtId="0" fontId="5" fillId="0" borderId="46" xfId="7" applyFont="1" applyBorder="1" applyAlignment="1">
      <alignment horizontal="right" vertical="center" wrapText="1"/>
    </xf>
    <xf numFmtId="10" fontId="8" fillId="0" borderId="19" xfId="7" applyNumberFormat="1" applyFont="1" applyBorder="1" applyAlignment="1">
      <alignment horizontal="center" vertical="center" wrapText="1"/>
    </xf>
    <xf numFmtId="9" fontId="8" fillId="0" borderId="4" xfId="6" applyNumberFormat="1" applyFont="1" applyFill="1" applyBorder="1" applyAlignment="1">
      <alignment horizontal="center" vertical="center" wrapText="1"/>
    </xf>
    <xf numFmtId="14" fontId="8" fillId="0" borderId="25" xfId="6" applyNumberFormat="1" applyFont="1" applyFill="1" applyBorder="1" applyAlignment="1">
      <alignment horizontal="center" vertical="center" wrapText="1"/>
    </xf>
    <xf numFmtId="164" fontId="5" fillId="6" borderId="57" xfId="1" applyNumberFormat="1" applyFont="1" applyFill="1" applyBorder="1" applyAlignment="1">
      <alignment horizontal="center" vertical="center" wrapText="1"/>
    </xf>
    <xf numFmtId="43" fontId="8" fillId="0" borderId="22" xfId="1" applyFont="1" applyFill="1" applyBorder="1" applyAlignment="1">
      <alignment horizontal="center" vertical="center" wrapText="1"/>
    </xf>
    <xf numFmtId="0" fontId="31" fillId="0" borderId="0" xfId="10"/>
    <xf numFmtId="0" fontId="37" fillId="14" borderId="0" xfId="10" applyFont="1" applyFill="1" applyAlignment="1">
      <alignment horizontal="center" vertical="center" wrapText="1"/>
    </xf>
    <xf numFmtId="0" fontId="37" fillId="14" borderId="76" xfId="10" applyFont="1" applyFill="1" applyBorder="1" applyAlignment="1">
      <alignment horizontal="center" vertical="center" wrapText="1"/>
    </xf>
    <xf numFmtId="17" fontId="37" fillId="14" borderId="76" xfId="10" applyNumberFormat="1" applyFont="1" applyFill="1" applyBorder="1" applyAlignment="1">
      <alignment horizontal="center" vertical="center" wrapText="1"/>
    </xf>
    <xf numFmtId="0" fontId="38" fillId="15" borderId="76" xfId="10" applyFont="1" applyFill="1" applyBorder="1" applyAlignment="1">
      <alignment horizontal="left" vertical="center" wrapText="1"/>
    </xf>
    <xf numFmtId="168" fontId="38" fillId="16" borderId="76" xfId="10" applyNumberFormat="1" applyFont="1" applyFill="1" applyBorder="1"/>
    <xf numFmtId="169" fontId="38" fillId="15" borderId="76" xfId="10" applyNumberFormat="1" applyFont="1" applyFill="1" applyBorder="1"/>
    <xf numFmtId="0" fontId="38" fillId="15" borderId="76" xfId="10" applyFont="1" applyFill="1" applyBorder="1"/>
    <xf numFmtId="0" fontId="38" fillId="15" borderId="76" xfId="10" applyFont="1" applyFill="1" applyBorder="1" applyAlignment="1">
      <alignment horizontal="center" vertical="center" wrapText="1"/>
    </xf>
    <xf numFmtId="170" fontId="38" fillId="15" borderId="76" xfId="10" applyNumberFormat="1" applyFont="1" applyFill="1" applyBorder="1" applyAlignment="1">
      <alignment horizontal="center" vertical="center" wrapText="1"/>
    </xf>
    <xf numFmtId="0" fontId="39" fillId="17" borderId="76" xfId="10" applyFont="1" applyFill="1" applyBorder="1" applyAlignment="1">
      <alignment horizontal="left" vertical="center" wrapText="1"/>
    </xf>
    <xf numFmtId="0" fontId="38" fillId="17" borderId="76" xfId="10" applyFont="1" applyFill="1" applyBorder="1" applyAlignment="1">
      <alignment horizontal="left" vertical="center" wrapText="1"/>
    </xf>
    <xf numFmtId="168" fontId="40" fillId="12" borderId="76" xfId="10" applyNumberFormat="1" applyFont="1" applyFill="1" applyBorder="1"/>
    <xf numFmtId="169" fontId="37" fillId="17" borderId="76" xfId="10" applyNumberFormat="1" applyFont="1" applyFill="1" applyBorder="1"/>
    <xf numFmtId="0" fontId="37" fillId="17" borderId="76" xfId="10" applyFont="1" applyFill="1" applyBorder="1"/>
    <xf numFmtId="0" fontId="37" fillId="17" borderId="76" xfId="10" applyFont="1" applyFill="1" applyBorder="1" applyAlignment="1">
      <alignment horizontal="center" vertical="center" wrapText="1"/>
    </xf>
    <xf numFmtId="170" fontId="37" fillId="17" borderId="76" xfId="10" applyNumberFormat="1" applyFont="1" applyFill="1" applyBorder="1" applyAlignment="1">
      <alignment horizontal="center" vertical="center" wrapText="1"/>
    </xf>
    <xf numFmtId="0" fontId="41" fillId="17" borderId="76" xfId="10" applyFont="1" applyFill="1" applyBorder="1" applyAlignment="1">
      <alignment horizontal="center" vertical="center" wrapText="1"/>
    </xf>
    <xf numFmtId="0" fontId="42" fillId="18" borderId="76" xfId="10" applyFont="1" applyFill="1" applyBorder="1" applyAlignment="1">
      <alignment horizontal="left" vertical="center" wrapText="1"/>
    </xf>
    <xf numFmtId="0" fontId="42" fillId="18" borderId="76" xfId="10" applyFont="1" applyFill="1" applyBorder="1"/>
    <xf numFmtId="0" fontId="31" fillId="18" borderId="76" xfId="10" applyFill="1" applyBorder="1"/>
    <xf numFmtId="0" fontId="42" fillId="18" borderId="76" xfId="10" applyFont="1" applyFill="1" applyBorder="1" applyAlignment="1">
      <alignment horizontal="center" vertical="center" wrapText="1"/>
    </xf>
    <xf numFmtId="0" fontId="43" fillId="12" borderId="76" xfId="10" applyFont="1" applyFill="1" applyBorder="1" applyAlignment="1">
      <alignment horizontal="center" vertical="center" wrapText="1"/>
    </xf>
    <xf numFmtId="170" fontId="42" fillId="18" borderId="76" xfId="10" applyNumberFormat="1" applyFont="1" applyFill="1" applyBorder="1" applyAlignment="1">
      <alignment horizontal="center" vertical="center" wrapText="1"/>
    </xf>
    <xf numFmtId="169" fontId="42" fillId="18" borderId="76" xfId="10" applyNumberFormat="1" applyFont="1" applyFill="1" applyBorder="1"/>
    <xf numFmtId="170" fontId="43" fillId="12" borderId="76" xfId="10" applyNumberFormat="1" applyFont="1" applyFill="1" applyBorder="1" applyAlignment="1">
      <alignment horizontal="center" vertical="center" wrapText="1"/>
    </xf>
    <xf numFmtId="17" fontId="43" fillId="12" borderId="76" xfId="10" applyNumberFormat="1" applyFont="1" applyFill="1" applyBorder="1" applyAlignment="1">
      <alignment horizontal="center" vertical="center" wrapText="1"/>
    </xf>
    <xf numFmtId="169" fontId="44" fillId="18" borderId="76" xfId="10" applyNumberFormat="1" applyFont="1" applyFill="1" applyBorder="1"/>
    <xf numFmtId="0" fontId="42" fillId="18" borderId="0" xfId="10" applyFont="1" applyFill="1"/>
    <xf numFmtId="0" fontId="31" fillId="8" borderId="0" xfId="10" applyFill="1"/>
    <xf numFmtId="0" fontId="31" fillId="19" borderId="76" xfId="10" applyFill="1" applyBorder="1"/>
    <xf numFmtId="169" fontId="37" fillId="19" borderId="76" xfId="10" applyNumberFormat="1" applyFont="1" applyFill="1" applyBorder="1" applyAlignment="1">
      <alignment horizontal="center" vertical="center" wrapText="1"/>
    </xf>
    <xf numFmtId="0" fontId="37" fillId="19" borderId="76" xfId="10" applyFont="1" applyFill="1" applyBorder="1" applyAlignment="1">
      <alignment horizontal="center" vertical="center" wrapText="1"/>
    </xf>
    <xf numFmtId="169" fontId="45" fillId="20" borderId="76" xfId="10" applyNumberFormat="1" applyFont="1" applyFill="1" applyBorder="1"/>
    <xf numFmtId="170" fontId="46" fillId="0" borderId="0" xfId="10" applyNumberFormat="1" applyFont="1"/>
    <xf numFmtId="4" fontId="31" fillId="0" borderId="0" xfId="10" applyNumberFormat="1"/>
    <xf numFmtId="37" fontId="8" fillId="0" borderId="24" xfId="1" applyNumberFormat="1" applyFont="1" applyFill="1" applyBorder="1" applyAlignment="1">
      <alignment horizontal="center" vertical="center" wrapText="1"/>
    </xf>
    <xf numFmtId="4" fontId="11" fillId="0" borderId="40" xfId="1" applyNumberFormat="1" applyFont="1" applyFill="1" applyBorder="1" applyAlignment="1">
      <alignment horizontal="center" vertical="center" wrapText="1"/>
    </xf>
    <xf numFmtId="4" fontId="11" fillId="0" borderId="25" xfId="2" applyNumberFormat="1" applyFont="1" applyFill="1" applyBorder="1" applyAlignment="1">
      <alignment horizontal="right" vertical="center" wrapText="1"/>
    </xf>
    <xf numFmtId="43" fontId="7" fillId="0" borderId="22" xfId="1" applyFont="1" applyFill="1" applyBorder="1" applyAlignment="1">
      <alignment horizontal="center" vertical="center" wrapText="1"/>
    </xf>
    <xf numFmtId="43" fontId="8" fillId="6" borderId="24" xfId="1" applyFont="1" applyFill="1" applyBorder="1" applyAlignment="1">
      <alignment horizontal="center" vertical="center" wrapText="1"/>
    </xf>
    <xf numFmtId="43" fontId="8" fillId="0" borderId="16" xfId="1" applyFont="1" applyFill="1" applyBorder="1" applyAlignment="1">
      <alignment horizontal="center" vertical="center" wrapText="1"/>
    </xf>
    <xf numFmtId="4" fontId="11" fillId="6" borderId="46" xfId="1" applyNumberFormat="1" applyFont="1" applyFill="1" applyBorder="1" applyAlignment="1">
      <alignment horizontal="center" vertical="center" wrapText="1"/>
    </xf>
    <xf numFmtId="37" fontId="8" fillId="0" borderId="48" xfId="1" applyNumberFormat="1" applyFont="1" applyFill="1" applyBorder="1" applyAlignment="1">
      <alignment horizontal="center" vertical="center" wrapText="1"/>
    </xf>
    <xf numFmtId="4" fontId="11" fillId="6" borderId="41" xfId="1" applyNumberFormat="1" applyFont="1" applyFill="1" applyBorder="1" applyAlignment="1">
      <alignment horizontal="center" vertical="center" wrapText="1"/>
    </xf>
    <xf numFmtId="44" fontId="8" fillId="0" borderId="23" xfId="4" applyFont="1" applyFill="1" applyBorder="1" applyAlignment="1">
      <alignment horizontal="center" vertical="center" wrapText="1"/>
    </xf>
    <xf numFmtId="43" fontId="8" fillId="0" borderId="28" xfId="1" applyFont="1" applyFill="1" applyBorder="1" applyAlignment="1">
      <alignment vertical="center" wrapText="1"/>
    </xf>
    <xf numFmtId="1" fontId="5" fillId="0" borderId="3" xfId="0" applyNumberFormat="1" applyFont="1" applyBorder="1"/>
    <xf numFmtId="4" fontId="11" fillId="6" borderId="14" xfId="1" applyNumberFormat="1" applyFont="1" applyFill="1" applyBorder="1" applyAlignment="1">
      <alignment horizontal="center" vertical="center" wrapText="1"/>
    </xf>
    <xf numFmtId="43" fontId="11" fillId="6" borderId="42" xfId="1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1" fontId="5" fillId="0" borderId="3" xfId="0" applyNumberFormat="1" applyFont="1" applyBorder="1" applyAlignment="1">
      <alignment vertical="center" wrapText="1"/>
    </xf>
    <xf numFmtId="4" fontId="47" fillId="8" borderId="23" xfId="1" applyNumberFormat="1" applyFont="1" applyFill="1" applyBorder="1" applyAlignment="1">
      <alignment horizontal="center" vertical="center" wrapText="1"/>
    </xf>
    <xf numFmtId="4" fontId="11" fillId="10" borderId="13" xfId="6" applyNumberFormat="1" applyFont="1" applyFill="1" applyBorder="1" applyAlignment="1">
      <alignment horizontal="center" vertical="center" wrapText="1"/>
    </xf>
    <xf numFmtId="164" fontId="12" fillId="10" borderId="13" xfId="0" applyNumberFormat="1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35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1" fontId="8" fillId="0" borderId="24" xfId="1" applyNumberFormat="1" applyFont="1" applyFill="1" applyBorder="1" applyAlignment="1">
      <alignment horizontal="center" vertical="center" wrapText="1"/>
    </xf>
    <xf numFmtId="1" fontId="8" fillId="0" borderId="22" xfId="1" applyNumberFormat="1" applyFont="1" applyFill="1" applyBorder="1" applyAlignment="1">
      <alignment horizontal="center" vertical="center" wrapText="1"/>
    </xf>
    <xf numFmtId="14" fontId="8" fillId="0" borderId="24" xfId="1" applyNumberFormat="1" applyFont="1" applyFill="1" applyBorder="1" applyAlignment="1">
      <alignment horizontal="center" vertical="center" wrapText="1"/>
    </xf>
    <xf numFmtId="14" fontId="8" fillId="0" borderId="22" xfId="1" applyNumberFormat="1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43" fontId="33" fillId="0" borderId="24" xfId="1" applyFont="1" applyFill="1" applyBorder="1" applyAlignment="1">
      <alignment horizontal="center" vertical="center" wrapText="1"/>
    </xf>
    <xf numFmtId="43" fontId="33" fillId="0" borderId="22" xfId="1" applyFont="1" applyFill="1" applyBorder="1" applyAlignment="1">
      <alignment horizontal="center" vertical="center" wrapText="1"/>
    </xf>
    <xf numFmtId="43" fontId="8" fillId="0" borderId="24" xfId="1" applyFont="1" applyFill="1" applyBorder="1" applyAlignment="1">
      <alignment horizontal="center" vertical="center" wrapText="1"/>
    </xf>
    <xf numFmtId="43" fontId="8" fillId="0" borderId="22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9" fontId="11" fillId="0" borderId="24" xfId="1" applyNumberFormat="1" applyFont="1" applyFill="1" applyBorder="1" applyAlignment="1">
      <alignment horizontal="center" vertical="center" wrapText="1"/>
    </xf>
    <xf numFmtId="9" fontId="11" fillId="0" borderId="22" xfId="1" applyNumberFormat="1" applyFont="1" applyFill="1" applyBorder="1" applyAlignment="1">
      <alignment horizontal="center" vertical="center" wrapText="1"/>
    </xf>
    <xf numFmtId="43" fontId="8" fillId="0" borderId="37" xfId="1" applyFont="1" applyFill="1" applyBorder="1" applyAlignment="1">
      <alignment horizontal="center" vertical="center" wrapText="1"/>
    </xf>
    <xf numFmtId="43" fontId="8" fillId="0" borderId="36" xfId="1" applyFont="1" applyFill="1" applyBorder="1" applyAlignment="1">
      <alignment horizontal="center" vertical="center" wrapText="1"/>
    </xf>
    <xf numFmtId="43" fontId="8" fillId="0" borderId="35" xfId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164" fontId="5" fillId="0" borderId="38" xfId="1" applyNumberFormat="1" applyFont="1" applyFill="1" applyBorder="1" applyAlignment="1">
      <alignment horizontal="center" vertical="center" wrapText="1"/>
    </xf>
    <xf numFmtId="164" fontId="5" fillId="0" borderId="40" xfId="1" applyNumberFormat="1" applyFont="1" applyFill="1" applyBorder="1" applyAlignment="1">
      <alignment horizontal="center" vertical="center" wrapText="1"/>
    </xf>
    <xf numFmtId="164" fontId="5" fillId="6" borderId="20" xfId="1" applyNumberFormat="1" applyFont="1" applyFill="1" applyBorder="1" applyAlignment="1">
      <alignment horizontal="center" vertical="center" wrapText="1"/>
    </xf>
    <xf numFmtId="164" fontId="5" fillId="6" borderId="14" xfId="1" applyNumberFormat="1" applyFont="1" applyFill="1" applyBorder="1" applyAlignment="1">
      <alignment horizontal="center" vertical="center" wrapText="1"/>
    </xf>
    <xf numFmtId="164" fontId="5" fillId="0" borderId="20" xfId="1" applyNumberFormat="1" applyFont="1" applyFill="1" applyBorder="1" applyAlignment="1">
      <alignment horizontal="center" vertical="center" wrapText="1"/>
    </xf>
    <xf numFmtId="164" fontId="5" fillId="0" borderId="14" xfId="1" applyNumberFormat="1" applyFont="1" applyFill="1" applyBorder="1" applyAlignment="1">
      <alignment horizontal="center" vertical="center" wrapText="1"/>
    </xf>
    <xf numFmtId="43" fontId="12" fillId="6" borderId="37" xfId="1" applyFont="1" applyFill="1" applyBorder="1" applyAlignment="1">
      <alignment horizontal="center" vertical="center" wrapText="1"/>
    </xf>
    <xf numFmtId="43" fontId="12" fillId="6" borderId="36" xfId="1" applyFont="1" applyFill="1" applyBorder="1" applyAlignment="1">
      <alignment horizontal="center" vertical="center" wrapText="1"/>
    </xf>
    <xf numFmtId="43" fontId="12" fillId="6" borderId="24" xfId="1" applyFont="1" applyFill="1" applyBorder="1" applyAlignment="1">
      <alignment horizontal="center" vertical="center" wrapText="1"/>
    </xf>
    <xf numFmtId="43" fontId="12" fillId="6" borderId="23" xfId="1" applyFont="1" applyFill="1" applyBorder="1" applyAlignment="1">
      <alignment horizontal="center" vertical="center" wrapText="1"/>
    </xf>
    <xf numFmtId="43" fontId="12" fillId="6" borderId="35" xfId="1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textRotation="90" wrapText="1"/>
    </xf>
    <xf numFmtId="0" fontId="9" fillId="0" borderId="34" xfId="0" applyFont="1" applyBorder="1" applyAlignment="1">
      <alignment horizontal="center" vertical="center" textRotation="90" wrapText="1"/>
    </xf>
    <xf numFmtId="0" fontId="17" fillId="0" borderId="31" xfId="0" applyFont="1" applyBorder="1" applyAlignment="1">
      <alignment horizontal="right" vertical="center" wrapText="1"/>
    </xf>
    <xf numFmtId="0" fontId="17" fillId="0" borderId="15" xfId="0" applyFont="1" applyBorder="1" applyAlignment="1">
      <alignment horizontal="right" vertical="center" wrapText="1"/>
    </xf>
    <xf numFmtId="0" fontId="17" fillId="0" borderId="46" xfId="0" applyFont="1" applyBorder="1" applyAlignment="1">
      <alignment horizontal="right" vertical="center" wrapText="1"/>
    </xf>
    <xf numFmtId="0" fontId="7" fillId="0" borderId="13" xfId="0" applyFont="1" applyBorder="1" applyAlignment="1">
      <alignment horizontal="right" vertical="center" wrapText="1"/>
    </xf>
    <xf numFmtId="0" fontId="7" fillId="0" borderId="17" xfId="0" applyFont="1" applyBorder="1" applyAlignment="1">
      <alignment horizontal="right" vertical="center" wrapText="1"/>
    </xf>
    <xf numFmtId="4" fontId="11" fillId="0" borderId="31" xfId="2" applyNumberFormat="1" applyFont="1" applyFill="1" applyBorder="1" applyAlignment="1">
      <alignment horizontal="right" vertical="center" wrapText="1"/>
    </xf>
    <xf numFmtId="4" fontId="11" fillId="0" borderId="32" xfId="2" applyNumberFormat="1" applyFont="1" applyFill="1" applyBorder="1" applyAlignment="1">
      <alignment horizontal="right" vertical="center" wrapText="1"/>
    </xf>
    <xf numFmtId="4" fontId="11" fillId="0" borderId="13" xfId="2" applyNumberFormat="1" applyFont="1" applyFill="1" applyBorder="1" applyAlignment="1">
      <alignment horizontal="right" vertical="center" wrapText="1"/>
    </xf>
    <xf numFmtId="0" fontId="9" fillId="0" borderId="26" xfId="0" applyFont="1" applyBorder="1" applyAlignment="1">
      <alignment horizontal="center" vertical="center" textRotation="90" wrapText="1"/>
    </xf>
    <xf numFmtId="164" fontId="7" fillId="0" borderId="13" xfId="1" applyNumberFormat="1" applyFont="1" applyFill="1" applyBorder="1" applyAlignment="1">
      <alignment horizontal="right" vertical="center" wrapText="1"/>
    </xf>
    <xf numFmtId="43" fontId="7" fillId="0" borderId="18" xfId="1" applyFont="1" applyFill="1" applyBorder="1" applyAlignment="1">
      <alignment horizontal="right" vertical="center" wrapText="1"/>
    </xf>
    <xf numFmtId="43" fontId="7" fillId="0" borderId="19" xfId="1" applyFont="1" applyFill="1" applyBorder="1" applyAlignment="1">
      <alignment horizontal="right" wrapText="1"/>
    </xf>
    <xf numFmtId="43" fontId="7" fillId="0" borderId="18" xfId="1" applyFont="1" applyFill="1" applyBorder="1" applyAlignment="1">
      <alignment horizontal="right" wrapText="1"/>
    </xf>
    <xf numFmtId="1" fontId="9" fillId="0" borderId="12" xfId="0" applyNumberFormat="1" applyFont="1" applyBorder="1" applyAlignment="1">
      <alignment horizontal="center" vertical="center" textRotation="90" wrapText="1"/>
    </xf>
    <xf numFmtId="0" fontId="13" fillId="6" borderId="57" xfId="0" applyFont="1" applyFill="1" applyBorder="1" applyAlignment="1">
      <alignment horizontal="left" vertical="center" wrapText="1"/>
    </xf>
    <xf numFmtId="0" fontId="13" fillId="6" borderId="14" xfId="0" applyFont="1" applyFill="1" applyBorder="1" applyAlignment="1">
      <alignment horizontal="left" vertical="center" wrapText="1"/>
    </xf>
    <xf numFmtId="0" fontId="13" fillId="6" borderId="23" xfId="0" applyFont="1" applyFill="1" applyBorder="1" applyAlignment="1">
      <alignment horizontal="left" vertical="center" wrapText="1"/>
    </xf>
    <xf numFmtId="0" fontId="13" fillId="6" borderId="22" xfId="0" applyFont="1" applyFill="1" applyBorder="1" applyAlignment="1">
      <alignment horizontal="left" vertical="center" wrapText="1"/>
    </xf>
    <xf numFmtId="10" fontId="18" fillId="0" borderId="23" xfId="0" applyNumberFormat="1" applyFont="1" applyBorder="1" applyAlignment="1">
      <alignment horizontal="left" vertical="justify"/>
    </xf>
    <xf numFmtId="0" fontId="7" fillId="0" borderId="9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1" fontId="5" fillId="0" borderId="0" xfId="0" applyNumberFormat="1" applyFont="1" applyAlignment="1">
      <alignment vertical="center" wrapText="1"/>
    </xf>
    <xf numFmtId="1" fontId="10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7" borderId="1" xfId="3" applyFont="1" applyFill="1" applyBorder="1" applyAlignment="1">
      <alignment horizontal="center" vertical="center" wrapText="1"/>
    </xf>
    <xf numFmtId="0" fontId="7" fillId="7" borderId="3" xfId="3" applyFont="1" applyFill="1" applyBorder="1" applyAlignment="1">
      <alignment horizontal="center" vertical="center" wrapText="1"/>
    </xf>
    <xf numFmtId="0" fontId="37" fillId="19" borderId="76" xfId="10" applyFont="1" applyFill="1" applyBorder="1" applyAlignment="1">
      <alignment horizontal="left" vertical="center" wrapText="1"/>
    </xf>
    <xf numFmtId="0" fontId="45" fillId="20" borderId="78" xfId="10" applyFont="1" applyFill="1" applyBorder="1" applyAlignment="1">
      <alignment horizontal="left" vertical="center" wrapText="1"/>
    </xf>
    <xf numFmtId="0" fontId="46" fillId="0" borderId="0" xfId="10" applyFont="1"/>
    <xf numFmtId="0" fontId="37" fillId="13" borderId="75" xfId="10" applyFont="1" applyFill="1" applyBorder="1" applyAlignment="1">
      <alignment horizontal="center" vertical="center" wrapText="1"/>
    </xf>
    <xf numFmtId="0" fontId="37" fillId="14" borderId="0" xfId="10" applyFont="1" applyFill="1" applyAlignment="1">
      <alignment horizontal="center" vertical="center" wrapText="1"/>
    </xf>
    <xf numFmtId="0" fontId="37" fillId="14" borderId="75" xfId="10" applyFont="1" applyFill="1" applyBorder="1" applyAlignment="1">
      <alignment horizontal="center" vertical="center" wrapText="1"/>
    </xf>
    <xf numFmtId="0" fontId="37" fillId="14" borderId="77" xfId="10" applyFont="1" applyFill="1" applyBorder="1" applyAlignment="1">
      <alignment horizontal="center" vertical="center" wrapText="1"/>
    </xf>
    <xf numFmtId="0" fontId="34" fillId="0" borderId="0" xfId="10" applyFont="1"/>
    <xf numFmtId="0" fontId="35" fillId="0" borderId="0" xfId="10" applyFont="1"/>
    <xf numFmtId="0" fontId="36" fillId="0" borderId="0" xfId="10" applyFont="1"/>
    <xf numFmtId="43" fontId="12" fillId="6" borderId="22" xfId="1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3" fillId="0" borderId="38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0" fontId="13" fillId="0" borderId="13" xfId="3" applyFont="1" applyBorder="1" applyAlignment="1">
      <alignment horizontal="left" vertical="center" wrapText="1"/>
    </xf>
    <xf numFmtId="0" fontId="13" fillId="0" borderId="17" xfId="3" applyFont="1" applyBorder="1" applyAlignment="1">
      <alignment horizontal="left" vertical="center" wrapText="1"/>
    </xf>
    <xf numFmtId="10" fontId="18" fillId="0" borderId="13" xfId="0" applyNumberFormat="1" applyFont="1" applyBorder="1" applyAlignment="1">
      <alignment horizontal="left" vertical="justify"/>
    </xf>
    <xf numFmtId="10" fontId="18" fillId="0" borderId="17" xfId="0" applyNumberFormat="1" applyFont="1" applyBorder="1" applyAlignment="1">
      <alignment horizontal="left" vertical="justify"/>
    </xf>
    <xf numFmtId="0" fontId="5" fillId="0" borderId="3" xfId="0" applyFont="1" applyBorder="1" applyAlignment="1">
      <alignment horizontal="right" vertical="center" wrapText="1"/>
    </xf>
    <xf numFmtId="0" fontId="12" fillId="0" borderId="5" xfId="0" applyFont="1" applyBorder="1" applyAlignment="1">
      <alignment horizontal="left" vertical="top" wrapText="1"/>
    </xf>
    <xf numFmtId="0" fontId="12" fillId="0" borderId="5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33" xfId="0" applyFont="1" applyBorder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center" vertical="center" wrapText="1"/>
    </xf>
    <xf numFmtId="164" fontId="5" fillId="6" borderId="41" xfId="1" applyNumberFormat="1" applyFont="1" applyFill="1" applyBorder="1" applyAlignment="1">
      <alignment horizontal="center" vertical="center" wrapText="1"/>
    </xf>
    <xf numFmtId="164" fontId="5" fillId="6" borderId="40" xfId="1" applyNumberFormat="1" applyFont="1" applyFill="1" applyBorder="1" applyAlignment="1">
      <alignment horizontal="center" vertical="center" wrapText="1"/>
    </xf>
    <xf numFmtId="10" fontId="18" fillId="0" borderId="62" xfId="0" applyNumberFormat="1" applyFont="1" applyBorder="1" applyAlignment="1">
      <alignment horizontal="left" vertical="justify"/>
    </xf>
    <xf numFmtId="10" fontId="18" fillId="0" borderId="68" xfId="0" applyNumberFormat="1" applyFont="1" applyBorder="1" applyAlignment="1">
      <alignment horizontal="left" vertical="justify"/>
    </xf>
    <xf numFmtId="164" fontId="7" fillId="0" borderId="19" xfId="1" applyNumberFormat="1" applyFont="1" applyFill="1" applyBorder="1" applyAlignment="1">
      <alignment horizontal="right" vertical="center" wrapText="1"/>
    </xf>
    <xf numFmtId="0" fontId="5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164" fontId="5" fillId="0" borderId="41" xfId="1" applyNumberFormat="1" applyFont="1" applyFill="1" applyBorder="1" applyAlignment="1">
      <alignment horizontal="center" vertical="center" wrapText="1"/>
    </xf>
    <xf numFmtId="164" fontId="5" fillId="10" borderId="20" xfId="1" applyNumberFormat="1" applyFont="1" applyFill="1" applyBorder="1" applyAlignment="1">
      <alignment horizontal="center" vertical="center" wrapText="1"/>
    </xf>
    <xf numFmtId="164" fontId="5" fillId="10" borderId="14" xfId="1" applyNumberFormat="1" applyFont="1" applyFill="1" applyBorder="1" applyAlignment="1">
      <alignment horizontal="center" vertical="center" wrapText="1"/>
    </xf>
    <xf numFmtId="43" fontId="7" fillId="0" borderId="13" xfId="1" applyFont="1" applyFill="1" applyBorder="1" applyAlignment="1">
      <alignment horizontal="center" vertical="center" wrapText="1"/>
    </xf>
    <xf numFmtId="43" fontId="7" fillId="0" borderId="18" xfId="1" applyFont="1" applyFill="1" applyBorder="1" applyAlignment="1">
      <alignment horizontal="center" vertical="center" wrapText="1"/>
    </xf>
    <xf numFmtId="43" fontId="3" fillId="0" borderId="24" xfId="1" applyFont="1" applyFill="1" applyBorder="1" applyAlignment="1">
      <alignment horizontal="center" vertical="center" wrapText="1"/>
    </xf>
    <xf numFmtId="43" fontId="3" fillId="0" borderId="22" xfId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6" borderId="24" xfId="0" applyFont="1" applyFill="1" applyBorder="1" applyAlignment="1">
      <alignment horizontal="left" vertical="center" wrapText="1"/>
    </xf>
    <xf numFmtId="10" fontId="18" fillId="0" borderId="21" xfId="0" applyNumberFormat="1" applyFont="1" applyBorder="1" applyAlignment="1">
      <alignment horizontal="left" vertical="justify"/>
    </xf>
    <xf numFmtId="43" fontId="8" fillId="0" borderId="23" xfId="1" applyFont="1" applyFill="1" applyBorder="1" applyAlignment="1">
      <alignment horizontal="center" vertical="center" wrapText="1"/>
    </xf>
    <xf numFmtId="1" fontId="8" fillId="0" borderId="23" xfId="1" applyNumberFormat="1" applyFont="1" applyFill="1" applyBorder="1" applyAlignment="1">
      <alignment horizontal="center" vertical="center" wrapText="1"/>
    </xf>
    <xf numFmtId="14" fontId="8" fillId="0" borderId="23" xfId="1" applyNumberFormat="1" applyFont="1" applyFill="1" applyBorder="1" applyAlignment="1">
      <alignment horizontal="center" vertical="center" wrapText="1"/>
    </xf>
    <xf numFmtId="43" fontId="3" fillId="0" borderId="23" xfId="1" applyFont="1" applyFill="1" applyBorder="1" applyAlignment="1">
      <alignment horizontal="center" vertical="center" wrapText="1"/>
    </xf>
    <xf numFmtId="4" fontId="11" fillId="0" borderId="46" xfId="2" applyNumberFormat="1" applyFont="1" applyFill="1" applyBorder="1" applyAlignment="1">
      <alignment horizontal="right" vertical="center" wrapText="1"/>
    </xf>
    <xf numFmtId="164" fontId="5" fillId="0" borderId="57" xfId="1" applyNumberFormat="1" applyFont="1" applyFill="1" applyBorder="1" applyAlignment="1">
      <alignment horizontal="center" vertical="center" wrapText="1"/>
    </xf>
    <xf numFmtId="9" fontId="11" fillId="0" borderId="23" xfId="1" applyNumberFormat="1" applyFont="1" applyFill="1" applyBorder="1" applyAlignment="1">
      <alignment horizontal="center" vertical="center" wrapText="1"/>
    </xf>
    <xf numFmtId="43" fontId="7" fillId="6" borderId="13" xfId="1" applyFont="1" applyFill="1" applyBorder="1" applyAlignment="1">
      <alignment horizontal="center" vertical="center" wrapText="1"/>
    </xf>
    <xf numFmtId="43" fontId="7" fillId="6" borderId="18" xfId="1" applyFont="1" applyFill="1" applyBorder="1" applyAlignment="1">
      <alignment horizontal="center" vertical="center" wrapText="1"/>
    </xf>
    <xf numFmtId="43" fontId="7" fillId="0" borderId="21" xfId="1" applyFont="1" applyFill="1" applyBorder="1" applyAlignment="1">
      <alignment horizontal="center" vertical="center" wrapText="1"/>
    </xf>
    <xf numFmtId="4" fontId="11" fillId="6" borderId="31" xfId="2" applyNumberFormat="1" applyFont="1" applyFill="1" applyBorder="1" applyAlignment="1">
      <alignment horizontal="right" vertical="center" wrapText="1"/>
    </xf>
    <xf numFmtId="4" fontId="11" fillId="6" borderId="32" xfId="2" applyNumberFormat="1" applyFont="1" applyFill="1" applyBorder="1" applyAlignment="1">
      <alignment horizontal="right" vertical="center" wrapText="1"/>
    </xf>
    <xf numFmtId="0" fontId="13" fillId="0" borderId="24" xfId="3" applyFont="1" applyBorder="1" applyAlignment="1">
      <alignment horizontal="left" vertical="center" wrapText="1"/>
    </xf>
    <xf numFmtId="0" fontId="13" fillId="0" borderId="22" xfId="3" applyFont="1" applyBorder="1" applyAlignment="1">
      <alignment horizontal="left" vertical="center" wrapText="1"/>
    </xf>
    <xf numFmtId="10" fontId="18" fillId="0" borderId="19" xfId="0" applyNumberFormat="1" applyFont="1" applyBorder="1" applyAlignment="1">
      <alignment horizontal="left" vertical="justify"/>
    </xf>
    <xf numFmtId="0" fontId="7" fillId="7" borderId="2" xfId="3" applyFont="1" applyFill="1" applyBorder="1" applyAlignment="1">
      <alignment horizontal="center" vertical="center" wrapText="1"/>
    </xf>
    <xf numFmtId="10" fontId="18" fillId="0" borderId="61" xfId="0" applyNumberFormat="1" applyFont="1" applyBorder="1" applyAlignment="1">
      <alignment horizontal="left" vertical="justify"/>
    </xf>
    <xf numFmtId="0" fontId="7" fillId="7" borderId="5" xfId="3" applyFont="1" applyFill="1" applyBorder="1" applyAlignment="1">
      <alignment horizontal="center" vertical="center" wrapText="1"/>
    </xf>
    <xf numFmtId="0" fontId="7" fillId="7" borderId="51" xfId="3" applyFont="1" applyFill="1" applyBorder="1" applyAlignment="1">
      <alignment horizontal="center" vertical="center" wrapText="1"/>
    </xf>
    <xf numFmtId="10" fontId="25" fillId="0" borderId="21" xfId="0" applyNumberFormat="1" applyFont="1" applyBorder="1" applyAlignment="1">
      <alignment horizontal="left" vertical="justify"/>
    </xf>
    <xf numFmtId="10" fontId="25" fillId="0" borderId="19" xfId="0" applyNumberFormat="1" applyFont="1" applyBorder="1" applyAlignment="1">
      <alignment horizontal="left" vertical="justify"/>
    </xf>
    <xf numFmtId="4" fontId="11" fillId="0" borderId="19" xfId="2" applyNumberFormat="1" applyFont="1" applyFill="1" applyBorder="1" applyAlignment="1">
      <alignment horizontal="right" vertical="center" wrapText="1"/>
    </xf>
    <xf numFmtId="43" fontId="8" fillId="0" borderId="17" xfId="1" applyFont="1" applyFill="1" applyBorder="1" applyAlignment="1">
      <alignment horizontal="center" vertical="center" wrapText="1"/>
    </xf>
    <xf numFmtId="164" fontId="5" fillId="6" borderId="7" xfId="1" applyNumberFormat="1" applyFont="1" applyFill="1" applyBorder="1" applyAlignment="1">
      <alignment horizontal="center" vertical="center" wrapText="1"/>
    </xf>
    <xf numFmtId="164" fontId="5" fillId="6" borderId="8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>
      <alignment horizontal="center" vertical="center" wrapText="1"/>
    </xf>
    <xf numFmtId="43" fontId="12" fillId="6" borderId="12" xfId="1" applyFont="1" applyFill="1" applyBorder="1" applyAlignment="1">
      <alignment horizontal="center" vertical="center" wrapText="1"/>
    </xf>
    <xf numFmtId="43" fontId="12" fillId="6" borderId="33" xfId="1" applyFont="1" applyFill="1" applyBorder="1" applyAlignment="1">
      <alignment horizontal="center" vertical="center" wrapText="1"/>
    </xf>
    <xf numFmtId="43" fontId="12" fillId="6" borderId="42" xfId="1" applyFont="1" applyFill="1" applyBorder="1" applyAlignment="1">
      <alignment horizontal="center" vertical="center" wrapText="1"/>
    </xf>
    <xf numFmtId="43" fontId="12" fillId="6" borderId="4" xfId="1" applyFont="1" applyFill="1" applyBorder="1" applyAlignment="1">
      <alignment horizontal="center" vertical="center" wrapText="1"/>
    </xf>
    <xf numFmtId="43" fontId="12" fillId="6" borderId="0" xfId="1" applyFont="1" applyFill="1" applyBorder="1" applyAlignment="1">
      <alignment horizontal="center" vertical="center" wrapText="1"/>
    </xf>
    <xf numFmtId="43" fontId="12" fillId="6" borderId="20" xfId="1" applyFont="1" applyFill="1" applyBorder="1" applyAlignment="1">
      <alignment horizontal="center" vertical="center" wrapText="1"/>
    </xf>
    <xf numFmtId="43" fontId="12" fillId="6" borderId="14" xfId="1" applyFont="1" applyFill="1" applyBorder="1" applyAlignment="1">
      <alignment horizontal="center" vertical="center" wrapText="1"/>
    </xf>
    <xf numFmtId="43" fontId="8" fillId="0" borderId="73" xfId="6" applyFont="1" applyFill="1" applyBorder="1" applyAlignment="1">
      <alignment horizontal="center" vertical="center" wrapText="1"/>
    </xf>
    <xf numFmtId="43" fontId="8" fillId="0" borderId="69" xfId="6" applyFont="1" applyFill="1" applyBorder="1" applyAlignment="1">
      <alignment horizontal="center" vertical="center" wrapText="1"/>
    </xf>
    <xf numFmtId="0" fontId="15" fillId="0" borderId="21" xfId="7" applyFont="1" applyBorder="1" applyAlignment="1">
      <alignment horizontal="left" vertical="center" wrapText="1"/>
    </xf>
    <xf numFmtId="0" fontId="15" fillId="0" borderId="23" xfId="7" applyFont="1" applyBorder="1" applyAlignment="1">
      <alignment horizontal="left" vertical="center" wrapText="1"/>
    </xf>
    <xf numFmtId="43" fontId="8" fillId="0" borderId="62" xfId="6" applyFont="1" applyFill="1" applyBorder="1" applyAlignment="1">
      <alignment horizontal="center" vertical="center" wrapText="1"/>
    </xf>
    <xf numFmtId="0" fontId="15" fillId="0" borderId="48" xfId="7" applyFont="1" applyBorder="1" applyAlignment="1">
      <alignment horizontal="left" vertical="center" wrapText="1"/>
    </xf>
    <xf numFmtId="0" fontId="15" fillId="0" borderId="35" xfId="7" applyFont="1" applyBorder="1" applyAlignment="1">
      <alignment horizontal="left" vertical="center" wrapText="1"/>
    </xf>
    <xf numFmtId="0" fontId="15" fillId="0" borderId="49" xfId="7" applyFont="1" applyBorder="1" applyAlignment="1">
      <alignment horizontal="left" vertical="center" wrapText="1"/>
    </xf>
    <xf numFmtId="0" fontId="5" fillId="0" borderId="6" xfId="7" applyFont="1" applyBorder="1" applyAlignment="1">
      <alignment horizontal="center" vertical="center" wrapText="1"/>
    </xf>
    <xf numFmtId="0" fontId="5" fillId="0" borderId="0" xfId="7" applyFont="1" applyAlignment="1">
      <alignment horizontal="center" vertical="center" wrapText="1"/>
    </xf>
    <xf numFmtId="0" fontId="9" fillId="3" borderId="21" xfId="7" applyFont="1" applyFill="1" applyBorder="1" applyAlignment="1">
      <alignment horizontal="center" vertical="center" wrapText="1"/>
    </xf>
    <xf numFmtId="0" fontId="9" fillId="3" borderId="23" xfId="7" applyFont="1" applyFill="1" applyBorder="1" applyAlignment="1">
      <alignment horizontal="center" vertical="center" wrapText="1"/>
    </xf>
    <xf numFmtId="0" fontId="9" fillId="3" borderId="19" xfId="7" applyFont="1" applyFill="1" applyBorder="1" applyAlignment="1">
      <alignment horizontal="center" vertical="center" wrapText="1"/>
    </xf>
    <xf numFmtId="0" fontId="5" fillId="0" borderId="53" xfId="7" applyFont="1" applyBorder="1" applyAlignment="1">
      <alignment horizontal="center" vertical="center" wrapText="1"/>
    </xf>
    <xf numFmtId="0" fontId="5" fillId="0" borderId="61" xfId="7" applyFont="1" applyBorder="1" applyAlignment="1">
      <alignment horizontal="center" vertical="center" wrapText="1"/>
    </xf>
    <xf numFmtId="0" fontId="5" fillId="0" borderId="54" xfId="7" applyFont="1" applyBorder="1" applyAlignment="1">
      <alignment horizontal="center" vertical="center" wrapText="1"/>
    </xf>
    <xf numFmtId="0" fontId="5" fillId="0" borderId="13" xfId="7" applyFont="1" applyBorder="1" applyAlignment="1">
      <alignment horizontal="center" vertical="center" wrapText="1"/>
    </xf>
    <xf numFmtId="0" fontId="5" fillId="0" borderId="17" xfId="7" applyFont="1" applyBorder="1" applyAlignment="1">
      <alignment horizontal="center" vertical="center" wrapText="1"/>
    </xf>
    <xf numFmtId="0" fontId="5" fillId="0" borderId="21" xfId="7" applyFont="1" applyBorder="1" applyAlignment="1">
      <alignment horizontal="center" vertical="center" wrapText="1"/>
    </xf>
    <xf numFmtId="14" fontId="8" fillId="0" borderId="13" xfId="6" applyNumberFormat="1" applyFont="1" applyFill="1" applyBorder="1" applyAlignment="1">
      <alignment horizontal="center" vertical="center" wrapText="1"/>
    </xf>
    <xf numFmtId="14" fontId="8" fillId="0" borderId="17" xfId="6" applyNumberFormat="1" applyFont="1" applyFill="1" applyBorder="1" applyAlignment="1">
      <alignment horizontal="center" vertical="center" wrapText="1"/>
    </xf>
    <xf numFmtId="43" fontId="8" fillId="0" borderId="19" xfId="6" applyFont="1" applyFill="1" applyBorder="1" applyAlignment="1">
      <alignment horizontal="center" vertical="center" wrapText="1"/>
    </xf>
    <xf numFmtId="43" fontId="8" fillId="0" borderId="18" xfId="6" applyFont="1" applyFill="1" applyBorder="1" applyAlignment="1">
      <alignment horizontal="center" vertical="center" wrapText="1"/>
    </xf>
    <xf numFmtId="0" fontId="5" fillId="0" borderId="18" xfId="7" applyFont="1" applyBorder="1" applyAlignment="1">
      <alignment horizontal="center" vertical="center" wrapText="1"/>
    </xf>
    <xf numFmtId="43" fontId="8" fillId="0" borderId="13" xfId="6" applyFont="1" applyFill="1" applyBorder="1" applyAlignment="1">
      <alignment horizontal="center" vertical="center" wrapText="1"/>
    </xf>
    <xf numFmtId="4" fontId="11" fillId="11" borderId="13" xfId="6" applyNumberFormat="1" applyFont="1" applyFill="1" applyBorder="1" applyAlignment="1">
      <alignment horizontal="center" vertical="center" wrapText="1"/>
    </xf>
    <xf numFmtId="4" fontId="11" fillId="11" borderId="18" xfId="6" applyNumberFormat="1" applyFont="1" applyFill="1" applyBorder="1" applyAlignment="1">
      <alignment horizontal="center" vertical="center" wrapText="1"/>
    </xf>
    <xf numFmtId="4" fontId="11" fillId="11" borderId="19" xfId="6" applyNumberFormat="1" applyFont="1" applyFill="1" applyBorder="1" applyAlignment="1">
      <alignment horizontal="center" vertical="center" wrapText="1"/>
    </xf>
    <xf numFmtId="0" fontId="5" fillId="0" borderId="31" xfId="7" applyFont="1" applyBorder="1" applyAlignment="1">
      <alignment horizontal="center" vertical="center" wrapText="1"/>
    </xf>
    <xf numFmtId="0" fontId="5" fillId="0" borderId="15" xfId="7" applyFont="1" applyBorder="1" applyAlignment="1">
      <alignment horizontal="center" vertical="center" wrapText="1"/>
    </xf>
    <xf numFmtId="0" fontId="5" fillId="0" borderId="46" xfId="7" applyFont="1" applyBorder="1" applyAlignment="1">
      <alignment horizontal="center" vertical="center" wrapText="1"/>
    </xf>
    <xf numFmtId="1" fontId="8" fillId="0" borderId="13" xfId="6" applyNumberFormat="1" applyFont="1" applyFill="1" applyBorder="1" applyAlignment="1">
      <alignment horizontal="center" vertical="center" wrapText="1"/>
    </xf>
    <xf numFmtId="1" fontId="8" fillId="0" borderId="17" xfId="6" applyNumberFormat="1" applyFont="1" applyFill="1" applyBorder="1" applyAlignment="1">
      <alignment horizontal="center" vertical="center" wrapText="1"/>
    </xf>
    <xf numFmtId="1" fontId="8" fillId="0" borderId="42" xfId="6" applyNumberFormat="1" applyFont="1" applyFill="1" applyBorder="1" applyAlignment="1">
      <alignment horizontal="center" vertical="center" wrapText="1"/>
    </xf>
    <xf numFmtId="1" fontId="8" fillId="0" borderId="25" xfId="6" applyNumberFormat="1" applyFont="1" applyFill="1" applyBorder="1" applyAlignment="1">
      <alignment horizontal="center" vertical="center" wrapText="1"/>
    </xf>
    <xf numFmtId="0" fontId="9" fillId="0" borderId="34" xfId="7" applyFont="1" applyBorder="1" applyAlignment="1">
      <alignment horizontal="center" vertical="center" textRotation="90" wrapText="1"/>
    </xf>
    <xf numFmtId="0" fontId="9" fillId="0" borderId="26" xfId="7" applyFont="1" applyBorder="1" applyAlignment="1">
      <alignment horizontal="center" vertical="center" textRotation="90" wrapText="1"/>
    </xf>
    <xf numFmtId="0" fontId="7" fillId="0" borderId="62" xfId="7" applyFont="1" applyBorder="1" applyAlignment="1">
      <alignment horizontal="right" vertical="center" wrapText="1"/>
    </xf>
    <xf numFmtId="0" fontId="7" fillId="0" borderId="68" xfId="7" applyFont="1" applyBorder="1" applyAlignment="1">
      <alignment horizontal="right" vertical="center" wrapText="1"/>
    </xf>
    <xf numFmtId="164" fontId="7" fillId="0" borderId="13" xfId="6" applyNumberFormat="1" applyFont="1" applyFill="1" applyBorder="1" applyAlignment="1">
      <alignment horizontal="right" vertical="center" wrapText="1"/>
    </xf>
    <xf numFmtId="43" fontId="7" fillId="0" borderId="18" xfId="6" applyFont="1" applyFill="1" applyBorder="1" applyAlignment="1">
      <alignment horizontal="right" vertical="center" wrapText="1"/>
    </xf>
    <xf numFmtId="43" fontId="7" fillId="0" borderId="19" xfId="6" applyFont="1" applyFill="1" applyBorder="1" applyAlignment="1">
      <alignment horizontal="right" wrapText="1"/>
    </xf>
    <xf numFmtId="43" fontId="7" fillId="0" borderId="18" xfId="6" applyFont="1" applyFill="1" applyBorder="1" applyAlignment="1">
      <alignment horizontal="right" wrapText="1"/>
    </xf>
    <xf numFmtId="43" fontId="8" fillId="0" borderId="37" xfId="6" applyFont="1" applyFill="1" applyBorder="1" applyAlignment="1">
      <alignment horizontal="center" vertical="center" wrapText="1"/>
    </xf>
    <xf numFmtId="43" fontId="8" fillId="0" borderId="36" xfId="6" applyFont="1" applyFill="1" applyBorder="1" applyAlignment="1">
      <alignment horizontal="center" vertical="center" wrapText="1"/>
    </xf>
    <xf numFmtId="43" fontId="8" fillId="0" borderId="35" xfId="6" applyFont="1" applyFill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  <xf numFmtId="1" fontId="9" fillId="0" borderId="12" xfId="7" applyNumberFormat="1" applyFont="1" applyBorder="1" applyAlignment="1">
      <alignment horizontal="center" vertical="center" textRotation="90" wrapText="1"/>
    </xf>
    <xf numFmtId="10" fontId="25" fillId="0" borderId="21" xfId="7" applyNumberFormat="1" applyFont="1" applyBorder="1" applyAlignment="1">
      <alignment horizontal="left" vertical="justify"/>
    </xf>
    <xf numFmtId="10" fontId="25" fillId="0" borderId="19" xfId="7" applyNumberFormat="1" applyFont="1" applyBorder="1" applyAlignment="1">
      <alignment horizontal="left" vertical="justify"/>
    </xf>
    <xf numFmtId="17" fontId="11" fillId="6" borderId="17" xfId="7" applyNumberFormat="1" applyFont="1" applyFill="1" applyBorder="1" applyAlignment="1">
      <alignment horizontal="left" vertical="center"/>
    </xf>
    <xf numFmtId="4" fontId="11" fillId="0" borderId="13" xfId="9" applyNumberFormat="1" applyFont="1" applyFill="1" applyBorder="1" applyAlignment="1">
      <alignment horizontal="right" vertical="center" wrapText="1"/>
    </xf>
    <xf numFmtId="4" fontId="11" fillId="0" borderId="32" xfId="9" applyNumberFormat="1" applyFont="1" applyFill="1" applyBorder="1" applyAlignment="1">
      <alignment horizontal="right" vertical="center" wrapText="1"/>
    </xf>
    <xf numFmtId="0" fontId="7" fillId="0" borderId="9" xfId="7" applyFont="1" applyBorder="1" applyAlignment="1">
      <alignment horizontal="center" vertical="center" wrapText="1"/>
    </xf>
    <xf numFmtId="0" fontId="7" fillId="0" borderId="7" xfId="7" applyFont="1" applyBorder="1" applyAlignment="1">
      <alignment horizontal="center" vertical="center" wrapText="1"/>
    </xf>
    <xf numFmtId="0" fontId="7" fillId="0" borderId="11" xfId="7" applyFont="1" applyBorder="1" applyAlignment="1">
      <alignment horizontal="center" vertical="center" wrapText="1"/>
    </xf>
    <xf numFmtId="0" fontId="9" fillId="0" borderId="30" xfId="7" applyFont="1" applyBorder="1" applyAlignment="1">
      <alignment horizontal="center" vertical="center" textRotation="90" wrapText="1"/>
    </xf>
    <xf numFmtId="0" fontId="17" fillId="0" borderId="31" xfId="7" applyFont="1" applyBorder="1" applyAlignment="1">
      <alignment horizontal="right" vertical="center" wrapText="1"/>
    </xf>
    <xf numFmtId="0" fontId="17" fillId="0" borderId="15" xfId="7" applyFont="1" applyBorder="1" applyAlignment="1">
      <alignment horizontal="right" vertical="center" wrapText="1"/>
    </xf>
    <xf numFmtId="0" fontId="17" fillId="0" borderId="46" xfId="7" applyFont="1" applyBorder="1" applyAlignment="1">
      <alignment horizontal="right" vertical="center" wrapText="1"/>
    </xf>
    <xf numFmtId="0" fontId="7" fillId="0" borderId="13" xfId="7" applyFont="1" applyBorder="1" applyAlignment="1">
      <alignment horizontal="right" vertical="center" wrapText="1"/>
    </xf>
    <xf numFmtId="0" fontId="7" fillId="0" borderId="17" xfId="7" applyFont="1" applyBorder="1" applyAlignment="1">
      <alignment horizontal="right" vertical="center" wrapText="1"/>
    </xf>
    <xf numFmtId="4" fontId="11" fillId="0" borderId="18" xfId="9" applyNumberFormat="1" applyFont="1" applyFill="1" applyBorder="1" applyAlignment="1">
      <alignment horizontal="right" vertical="center" wrapText="1"/>
    </xf>
    <xf numFmtId="0" fontId="7" fillId="0" borderId="2" xfId="7" applyFont="1" applyBorder="1" applyAlignment="1">
      <alignment horizontal="center" vertical="center" wrapText="1"/>
    </xf>
    <xf numFmtId="0" fontId="7" fillId="0" borderId="3" xfId="7" applyFont="1" applyBorder="1" applyAlignment="1">
      <alignment horizontal="center" vertical="center" wrapText="1"/>
    </xf>
    <xf numFmtId="0" fontId="7" fillId="6" borderId="1" xfId="7" applyFont="1" applyFill="1" applyBorder="1" applyAlignment="1">
      <alignment horizontal="center" vertical="center" wrapText="1"/>
    </xf>
    <xf numFmtId="0" fontId="7" fillId="6" borderId="3" xfId="7" applyFont="1" applyFill="1" applyBorder="1" applyAlignment="1">
      <alignment horizontal="center" vertical="center" wrapText="1"/>
    </xf>
    <xf numFmtId="0" fontId="5" fillId="0" borderId="0" xfId="7" applyFont="1" applyAlignment="1">
      <alignment vertical="center" wrapText="1"/>
    </xf>
    <xf numFmtId="0" fontId="5" fillId="0" borderId="0" xfId="7" applyFont="1" applyAlignment="1">
      <alignment horizontal="left" vertical="center" wrapText="1"/>
    </xf>
    <xf numFmtId="0" fontId="2" fillId="5" borderId="1" xfId="7" applyFont="1" applyFill="1" applyBorder="1" applyAlignment="1">
      <alignment horizontal="center" vertical="center" wrapText="1"/>
    </xf>
    <xf numFmtId="0" fontId="2" fillId="5" borderId="2" xfId="7" applyFont="1" applyFill="1" applyBorder="1" applyAlignment="1">
      <alignment horizontal="center" vertical="center" wrapText="1"/>
    </xf>
    <xf numFmtId="0" fontId="2" fillId="5" borderId="3" xfId="7" applyFont="1" applyFill="1" applyBorder="1" applyAlignment="1">
      <alignment horizontal="center" vertical="center" wrapText="1"/>
    </xf>
    <xf numFmtId="0" fontId="6" fillId="0" borderId="0" xfId="7" applyFont="1" applyAlignment="1">
      <alignment horizontal="left" vertical="center" wrapText="1"/>
    </xf>
    <xf numFmtId="1" fontId="5" fillId="0" borderId="0" xfId="7" applyNumberFormat="1" applyFont="1" applyAlignment="1">
      <alignment vertical="center" wrapText="1"/>
    </xf>
    <xf numFmtId="1" fontId="10" fillId="0" borderId="0" xfId="7" applyNumberFormat="1" applyFont="1" applyAlignment="1">
      <alignment horizontal="left" vertical="center" wrapText="1"/>
    </xf>
    <xf numFmtId="0" fontId="7" fillId="0" borderId="5" xfId="7" applyFont="1" applyBorder="1" applyAlignment="1">
      <alignment horizontal="center" vertical="center" wrapText="1"/>
    </xf>
    <xf numFmtId="0" fontId="7" fillId="0" borderId="6" xfId="7" applyFont="1" applyBorder="1" applyAlignment="1">
      <alignment horizontal="center" vertical="center" wrapText="1"/>
    </xf>
    <xf numFmtId="0" fontId="7" fillId="0" borderId="51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0" borderId="2" xfId="7" applyFont="1" applyBorder="1" applyAlignment="1">
      <alignment horizontal="center" vertical="center" wrapText="1"/>
    </xf>
    <xf numFmtId="0" fontId="9" fillId="0" borderId="3" xfId="7" applyFont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17" fontId="11" fillId="6" borderId="21" xfId="0" applyNumberFormat="1" applyFont="1" applyFill="1" applyBorder="1" applyAlignment="1">
      <alignment horizontal="left" vertical="center"/>
    </xf>
    <xf numFmtId="17" fontId="11" fillId="6" borderId="19" xfId="0" applyNumberFormat="1" applyFont="1" applyFill="1" applyBorder="1" applyAlignment="1">
      <alignment horizontal="left" vertical="center"/>
    </xf>
    <xf numFmtId="0" fontId="22" fillId="6" borderId="21" xfId="0" applyFont="1" applyFill="1" applyBorder="1" applyAlignment="1">
      <alignment horizontal="left" vertical="center" wrapText="1"/>
    </xf>
    <xf numFmtId="0" fontId="22" fillId="6" borderId="19" xfId="0" applyFont="1" applyFill="1" applyBorder="1" applyAlignment="1">
      <alignment horizontal="left" vertical="center" wrapText="1"/>
    </xf>
    <xf numFmtId="0" fontId="22" fillId="6" borderId="17" xfId="0" applyFont="1" applyFill="1" applyBorder="1" applyAlignment="1">
      <alignment horizontal="left" vertical="center" wrapText="1"/>
    </xf>
    <xf numFmtId="10" fontId="18" fillId="6" borderId="21" xfId="0" applyNumberFormat="1" applyFont="1" applyFill="1" applyBorder="1" applyAlignment="1">
      <alignment horizontal="left" vertical="justify"/>
    </xf>
    <xf numFmtId="10" fontId="18" fillId="6" borderId="19" xfId="0" applyNumberFormat="1" applyFont="1" applyFill="1" applyBorder="1" applyAlignment="1">
      <alignment horizontal="left" vertical="justify"/>
    </xf>
    <xf numFmtId="17" fontId="11" fillId="6" borderId="21" xfId="0" applyNumberFormat="1" applyFont="1" applyFill="1" applyBorder="1" applyAlignment="1">
      <alignment horizontal="left" vertical="justify"/>
    </xf>
    <xf numFmtId="17" fontId="11" fillId="6" borderId="19" xfId="0" applyNumberFormat="1" applyFont="1" applyFill="1" applyBorder="1" applyAlignment="1">
      <alignment horizontal="left" vertical="justify"/>
    </xf>
    <xf numFmtId="17" fontId="11" fillId="6" borderId="17" xfId="0" applyNumberFormat="1" applyFont="1" applyFill="1" applyBorder="1" applyAlignment="1">
      <alignment horizontal="left" vertical="center"/>
    </xf>
    <xf numFmtId="4" fontId="11" fillId="0" borderId="18" xfId="2" applyNumberFormat="1" applyFont="1" applyFill="1" applyBorder="1" applyAlignment="1">
      <alignment horizontal="right" vertical="center" wrapText="1"/>
    </xf>
    <xf numFmtId="43" fontId="7" fillId="0" borderId="17" xfId="1" applyFont="1" applyFill="1" applyBorder="1" applyAlignment="1">
      <alignment horizontal="center" vertical="center" wrapText="1"/>
    </xf>
    <xf numFmtId="43" fontId="3" fillId="0" borderId="19" xfId="1" applyFont="1" applyFill="1" applyBorder="1" applyAlignment="1">
      <alignment horizontal="center" vertical="center" wrapText="1"/>
    </xf>
    <xf numFmtId="43" fontId="3" fillId="0" borderId="21" xfId="1" applyFont="1" applyFill="1" applyBorder="1" applyAlignment="1">
      <alignment horizontal="center" vertical="center" wrapText="1"/>
    </xf>
    <xf numFmtId="17" fontId="13" fillId="6" borderId="64" xfId="0" applyNumberFormat="1" applyFont="1" applyFill="1" applyBorder="1" applyAlignment="1">
      <alignment horizontal="left" vertical="center"/>
    </xf>
    <xf numFmtId="17" fontId="13" fillId="6" borderId="41" xfId="0" applyNumberFormat="1" applyFont="1" applyFill="1" applyBorder="1" applyAlignment="1">
      <alignment horizontal="left" vertical="center"/>
    </xf>
    <xf numFmtId="17" fontId="13" fillId="6" borderId="21" xfId="0" applyNumberFormat="1" applyFont="1" applyFill="1" applyBorder="1" applyAlignment="1">
      <alignment horizontal="left" vertical="center"/>
    </xf>
    <xf numFmtId="17" fontId="13" fillId="6" borderId="19" xfId="0" applyNumberFormat="1" applyFont="1" applyFill="1" applyBorder="1" applyAlignment="1">
      <alignment horizontal="left" vertical="center"/>
    </xf>
    <xf numFmtId="0" fontId="13" fillId="0" borderId="22" xfId="0" applyFont="1" applyBorder="1" applyAlignment="1">
      <alignment horizontal="left" vertical="center" wrapText="1"/>
    </xf>
    <xf numFmtId="43" fontId="7" fillId="0" borderId="24" xfId="1" applyFont="1" applyFill="1" applyBorder="1" applyAlignment="1">
      <alignment horizontal="center" wrapText="1"/>
    </xf>
    <xf numFmtId="43" fontId="7" fillId="0" borderId="22" xfId="1" applyFont="1" applyFill="1" applyBorder="1" applyAlignment="1">
      <alignment horizontal="center" wrapText="1"/>
    </xf>
    <xf numFmtId="164" fontId="5" fillId="6" borderId="57" xfId="1" applyNumberFormat="1" applyFont="1" applyFill="1" applyBorder="1" applyAlignment="1">
      <alignment horizontal="center" vertical="center" wrapText="1"/>
    </xf>
  </cellXfs>
  <cellStyles count="11">
    <cellStyle name="Millares" xfId="1" builtinId="3"/>
    <cellStyle name="Millares 2" xfId="6" xr:uid="{337205F2-D7BB-48FF-A996-C86AD370B658}"/>
    <cellStyle name="Moneda" xfId="4" builtinId="4"/>
    <cellStyle name="Normal" xfId="0" builtinId="0"/>
    <cellStyle name="Normal 2" xfId="5" xr:uid="{3FEA0A1B-E5A5-4003-9D24-456766D9C297}"/>
    <cellStyle name="Normal 3" xfId="3" xr:uid="{8CC429C8-FF71-4F70-92FA-7662C796D592}"/>
    <cellStyle name="Normal 3 2" xfId="7" xr:uid="{580D1888-CDB1-4B8E-AA11-9CBC547F6626}"/>
    <cellStyle name="Normal 3 2 2" xfId="8" xr:uid="{94020A96-E317-4BD2-A062-D2A5793A2073}"/>
    <cellStyle name="Normal 4" xfId="10" xr:uid="{7AC96363-260C-432E-867D-E77283EB7110}"/>
    <cellStyle name="Porcentaje" xfId="2" builtinId="5"/>
    <cellStyle name="Porcentaje 2" xfId="9" xr:uid="{A47EC783-3C3C-4269-8126-134BB46C7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943</xdr:row>
      <xdr:rowOff>38668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717FA5E4-29D7-4E0B-8F9E-B1200E12DE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8554" cy="1502447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943</xdr:row>
      <xdr:rowOff>9749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6E425159-93AC-478E-A9C8-C83B7E7BC46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8554" cy="150215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41639</xdr:rowOff>
    </xdr:from>
    <xdr:to>
      <xdr:col>24</xdr:col>
      <xdr:colOff>497589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63AFD6CA-D999-4290-BF3D-8D566E7E5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70700" y="41639"/>
          <a:ext cx="6615814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6D443717-C6AA-4E34-AC79-AE0AE7305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942</xdr:row>
      <xdr:rowOff>6918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2AC106C7-9E6E-4D7E-ACC0-1C9FCA2FBB2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5379" cy="1502447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941</xdr:row>
      <xdr:rowOff>120874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A465A594-6FAA-48A6-8925-DB859BE90B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5379" cy="150215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41639</xdr:rowOff>
    </xdr:from>
    <xdr:to>
      <xdr:col>25</xdr:col>
      <xdr:colOff>5464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866AF941-800D-4260-AF46-377663D55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37825" y="41639"/>
          <a:ext cx="6615814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39173714-4B66-41AF-9E95-849CA6C8A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942</xdr:row>
      <xdr:rowOff>6918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FB1D610B-42D9-4CE3-BD69-15C37546F59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5379" cy="1502447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941</xdr:row>
      <xdr:rowOff>120874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CE9E4EA5-DE45-4C57-81E0-46F64CACA22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5379" cy="150215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41639</xdr:rowOff>
    </xdr:from>
    <xdr:to>
      <xdr:col>21</xdr:col>
      <xdr:colOff>735714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69FB9839-DAD2-4D72-8C42-265D9F3B8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37825" y="41639"/>
          <a:ext cx="6593589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77364424-F568-48C0-9A62-2F5AC8EF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942</xdr:row>
      <xdr:rowOff>6918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CB9B4D1B-5987-4082-84C7-8DAB8FC7160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5379" cy="1502447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941</xdr:row>
      <xdr:rowOff>120874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ABCDC796-D783-4AEF-B09A-C32B239D8A6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5379" cy="150215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0</xdr:row>
      <xdr:rowOff>41639</xdr:rowOff>
    </xdr:from>
    <xdr:to>
      <xdr:col>25</xdr:col>
      <xdr:colOff>481714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D3D21BF0-FBC6-43AD-A902-13EB1D00F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37825" y="41639"/>
          <a:ext cx="6615814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2E0985DE-0BC4-4490-96E8-6F512FD57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941</xdr:row>
      <xdr:rowOff>6918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B8768108-4F1A-4C38-AE8B-AA2A4E2D0C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5379" cy="1502447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920404</xdr:colOff>
      <xdr:row>940</xdr:row>
      <xdr:rowOff>120874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376A2170-C523-41EA-A537-9F6E0570D9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135725" y="1609725"/>
          <a:ext cx="14055379" cy="150215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0</xdr:colOff>
      <xdr:row>0</xdr:row>
      <xdr:rowOff>41639</xdr:rowOff>
    </xdr:from>
    <xdr:to>
      <xdr:col>27</xdr:col>
      <xdr:colOff>481714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18FB3D38-1801-4F35-AD5E-A4DFCB020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37825" y="41639"/>
          <a:ext cx="6615814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45B277B9-A84A-44CF-83BC-9637B0ADA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533400</xdr:colOff>
      <xdr:row>1</xdr:row>
      <xdr:rowOff>180975</xdr:rowOff>
    </xdr:from>
    <xdr:to>
      <xdr:col>18</xdr:col>
      <xdr:colOff>906796</xdr:colOff>
      <xdr:row>918</xdr:row>
      <xdr:rowOff>70418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20180339-3452-4475-A5A6-10C24149E5E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73975" y="1609725"/>
          <a:ext cx="14041771" cy="1502923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533400</xdr:colOff>
      <xdr:row>1</xdr:row>
      <xdr:rowOff>180975</xdr:rowOff>
    </xdr:from>
    <xdr:to>
      <xdr:col>18</xdr:col>
      <xdr:colOff>906796</xdr:colOff>
      <xdr:row>918</xdr:row>
      <xdr:rowOff>41499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8959596F-F86C-49CA-94D7-AF41B0F9C63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373975" y="1609725"/>
          <a:ext cx="14041771" cy="1502634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416394</xdr:colOff>
      <xdr:row>0</xdr:row>
      <xdr:rowOff>41639</xdr:rowOff>
    </xdr:from>
    <xdr:to>
      <xdr:col>20</xdr:col>
      <xdr:colOff>3580983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C6B1E626-BD51-41ED-B91E-EB47DC04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5344" y="41639"/>
          <a:ext cx="6593589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A15DA625-EC95-42C1-B821-172EAF775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1206154</xdr:colOff>
      <xdr:row>916</xdr:row>
      <xdr:rowOff>102168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FDE4932F-C19B-4726-8F99-40594F91C6B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92800" y="1609725"/>
          <a:ext cx="14055379" cy="1503114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1206154</xdr:colOff>
      <xdr:row>916</xdr:row>
      <xdr:rowOff>73249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9A7D6E96-E15D-41EB-8C20-CE8086F5FA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92800" y="1609725"/>
          <a:ext cx="14055379" cy="150282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28</xdr:col>
      <xdr:colOff>416394</xdr:colOff>
      <xdr:row>0</xdr:row>
      <xdr:rowOff>41639</xdr:rowOff>
    </xdr:from>
    <xdr:to>
      <xdr:col>30</xdr:col>
      <xdr:colOff>3580983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13E16833-2778-4634-AFC6-2EC06A975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65419" y="41639"/>
          <a:ext cx="6593589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D00075A8-B797-479C-A430-3E010029D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1206154</xdr:colOff>
      <xdr:row>945</xdr:row>
      <xdr:rowOff>102168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176D6C3A-08D8-4054-8381-11CD7E960DD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92800" y="1609725"/>
          <a:ext cx="14055379" cy="150254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1206154</xdr:colOff>
      <xdr:row>945</xdr:row>
      <xdr:rowOff>73249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CEA74CF0-B579-4742-8A3F-A5755180393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92800" y="1609725"/>
          <a:ext cx="14055379" cy="15022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416394</xdr:colOff>
      <xdr:row>0</xdr:row>
      <xdr:rowOff>41639</xdr:rowOff>
    </xdr:from>
    <xdr:to>
      <xdr:col>18</xdr:col>
      <xdr:colOff>3580983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36B6DA9A-F68B-48B7-B7B7-8200ECFF4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8419" y="41639"/>
          <a:ext cx="6593589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B7C6AEB0-5E16-4187-889D-31A03ABD2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19</xdr:col>
      <xdr:colOff>460029</xdr:colOff>
      <xdr:row>942</xdr:row>
      <xdr:rowOff>6918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00D64A42-D0E3-4FF6-A549-FD50700754C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16900" y="1609725"/>
          <a:ext cx="14071254" cy="1502447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19</xdr:col>
      <xdr:colOff>460029</xdr:colOff>
      <xdr:row>941</xdr:row>
      <xdr:rowOff>120874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17F66871-3D75-40A8-A4C9-63A7AB7D38F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16900" y="1609725"/>
          <a:ext cx="14071254" cy="1502158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0</xdr:colOff>
      <xdr:row>0</xdr:row>
      <xdr:rowOff>41639</xdr:rowOff>
    </xdr:from>
    <xdr:to>
      <xdr:col>21</xdr:col>
      <xdr:colOff>481714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90A599BD-1ABC-4A96-B292-1959C4A61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46625" y="41639"/>
          <a:ext cx="6615814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F714A020-2020-4328-869F-00778E87E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1206154</xdr:colOff>
      <xdr:row>945</xdr:row>
      <xdr:rowOff>102168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57925FB1-CBDC-4BE5-B06C-29909A4355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659475" y="1609725"/>
          <a:ext cx="14007575" cy="1504548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1206154</xdr:colOff>
      <xdr:row>945</xdr:row>
      <xdr:rowOff>73249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56BAAF30-93CB-41CF-A815-F5713A8BA42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659475" y="1609725"/>
          <a:ext cx="14007575" cy="1504235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416394</xdr:colOff>
      <xdr:row>0</xdr:row>
      <xdr:rowOff>41639</xdr:rowOff>
    </xdr:from>
    <xdr:to>
      <xdr:col>18</xdr:col>
      <xdr:colOff>3580983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5B3F5B9A-36CC-4509-BFCF-DEE1C329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87119" y="41639"/>
          <a:ext cx="6593589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BA65208B-58EB-4008-B1FF-D5ED5127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533400</xdr:colOff>
      <xdr:row>1</xdr:row>
      <xdr:rowOff>180975</xdr:rowOff>
    </xdr:from>
    <xdr:to>
      <xdr:col>16</xdr:col>
      <xdr:colOff>841029</xdr:colOff>
      <xdr:row>944</xdr:row>
      <xdr:rowOff>102168</xdr:rowOff>
    </xdr:to>
    <xdr:pic>
      <xdr:nvPicPr>
        <xdr:cNvPr id="2" name="Fecha" hidden="1">
          <a:extLst>
            <a:ext uri="{FF2B5EF4-FFF2-40B4-BE49-F238E27FC236}">
              <a16:creationId xmlns:a16="http://schemas.microsoft.com/office/drawing/2014/main" id="{578B610B-3FD1-44F5-B796-3A88CC131F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92800" y="1609725"/>
          <a:ext cx="14055379" cy="150254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533400</xdr:colOff>
      <xdr:row>1</xdr:row>
      <xdr:rowOff>180975</xdr:rowOff>
    </xdr:from>
    <xdr:to>
      <xdr:col>16</xdr:col>
      <xdr:colOff>841029</xdr:colOff>
      <xdr:row>944</xdr:row>
      <xdr:rowOff>73249</xdr:rowOff>
    </xdr:to>
    <xdr:pic>
      <xdr:nvPicPr>
        <xdr:cNvPr id="3" name="Fecha" hidden="1">
          <a:extLst>
            <a:ext uri="{FF2B5EF4-FFF2-40B4-BE49-F238E27FC236}">
              <a16:creationId xmlns:a16="http://schemas.microsoft.com/office/drawing/2014/main" id="{D4D4A633-F384-444C-9D87-FE712A77CDE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92800" y="1609725"/>
          <a:ext cx="14055379" cy="150225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416394</xdr:colOff>
      <xdr:row>0</xdr:row>
      <xdr:rowOff>41639</xdr:rowOff>
    </xdr:from>
    <xdr:to>
      <xdr:col>20</xdr:col>
      <xdr:colOff>437733</xdr:colOff>
      <xdr:row>0</xdr:row>
      <xdr:rowOff>1353278</xdr:rowOff>
    </xdr:to>
    <xdr:pic>
      <xdr:nvPicPr>
        <xdr:cNvPr id="4" name="Picture 3" descr="A logo with white text&#10;&#10;Description automatically generated with medium confidence">
          <a:extLst>
            <a:ext uri="{FF2B5EF4-FFF2-40B4-BE49-F238E27FC236}">
              <a16:creationId xmlns:a16="http://schemas.microsoft.com/office/drawing/2014/main" id="{ED1C35EA-E937-4AE4-AB79-EE223D19D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38919" y="41639"/>
          <a:ext cx="6593589" cy="13116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353935</xdr:colOff>
      <xdr:row>0</xdr:row>
      <xdr:rowOff>104098</xdr:rowOff>
    </xdr:from>
    <xdr:to>
      <xdr:col>3</xdr:col>
      <xdr:colOff>3601804</xdr:colOff>
      <xdr:row>1</xdr:row>
      <xdr:rowOff>19909</xdr:rowOff>
    </xdr:to>
    <xdr:pic>
      <xdr:nvPicPr>
        <xdr:cNvPr id="5" name="object 3" descr="Un dibujo en blanco y negro&#10;&#10;Descripción generada automáticamente con confianza baja">
          <a:extLst>
            <a:ext uri="{FF2B5EF4-FFF2-40B4-BE49-F238E27FC236}">
              <a16:creationId xmlns:a16="http://schemas.microsoft.com/office/drawing/2014/main" id="{C02A10F2-B48B-4B49-B6D4-611CE4C25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935" y="104098"/>
          <a:ext cx="6114894" cy="13445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6186-8880-49ED-BCC3-A1D106BC347F}">
  <dimension ref="A1:V132"/>
  <sheetViews>
    <sheetView zoomScaleNormal="100" workbookViewId="0">
      <pane xSplit="2" ySplit="6" topLeftCell="C9" activePane="bottomRight" state="frozen"/>
      <selection pane="topRight" activeCell="C1" sqref="C1"/>
      <selection pane="bottomLeft" activeCell="A7" sqref="A7"/>
      <selection pane="bottomRight" activeCell="L18" sqref="L18"/>
    </sheetView>
  </sheetViews>
  <sheetFormatPr baseColWidth="10" defaultColWidth="7.625" defaultRowHeight="15"/>
  <cols>
    <col min="1" max="1" width="21" style="554" customWidth="1"/>
    <col min="2" max="2" width="17.5" style="554" customWidth="1"/>
    <col min="3" max="3" width="12.25" style="554" customWidth="1"/>
    <col min="4" max="4" width="13.125" style="554" customWidth="1"/>
    <col min="5" max="5" width="11.625" style="554" customWidth="1"/>
    <col min="6" max="6" width="8.75" style="554" customWidth="1"/>
    <col min="7" max="7" width="12.625" style="554" customWidth="1"/>
    <col min="8" max="8" width="11.375" style="554" customWidth="1"/>
    <col min="9" max="9" width="12.25" style="554" customWidth="1"/>
    <col min="10" max="10" width="12" style="554" customWidth="1"/>
    <col min="11" max="11" width="16.625" style="554" customWidth="1"/>
    <col min="12" max="18" width="11.375" style="554" customWidth="1"/>
    <col min="19" max="19" width="11.625" style="554" customWidth="1"/>
    <col min="20" max="21" width="11.375" style="554" customWidth="1"/>
    <col min="22" max="22" width="13.125" style="554" customWidth="1"/>
    <col min="23" max="16384" width="7.625" style="554"/>
  </cols>
  <sheetData>
    <row r="1" spans="1:22" ht="20.25">
      <c r="A1" s="706" t="s">
        <v>185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</row>
    <row r="2" spans="1:22">
      <c r="A2" s="707" t="s">
        <v>186</v>
      </c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</row>
    <row r="3" spans="1:22">
      <c r="A3" s="708"/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</row>
    <row r="4" spans="1:22">
      <c r="P4" s="554" t="s">
        <v>187</v>
      </c>
    </row>
    <row r="5" spans="1:22" ht="31.5" customHeight="1">
      <c r="A5" s="702" t="s">
        <v>188</v>
      </c>
      <c r="B5" s="702" t="s">
        <v>189</v>
      </c>
      <c r="C5" s="702" t="s">
        <v>190</v>
      </c>
      <c r="D5" s="702" t="s">
        <v>191</v>
      </c>
      <c r="E5" s="702" t="s">
        <v>192</v>
      </c>
      <c r="F5" s="702" t="s">
        <v>193</v>
      </c>
      <c r="G5" s="702" t="s">
        <v>194</v>
      </c>
      <c r="H5" s="702" t="s">
        <v>195</v>
      </c>
      <c r="I5" s="702" t="s">
        <v>196</v>
      </c>
      <c r="J5" s="702" t="s">
        <v>197</v>
      </c>
      <c r="K5" s="702" t="s">
        <v>198</v>
      </c>
      <c r="L5" s="703" t="s">
        <v>199</v>
      </c>
      <c r="M5" s="703"/>
      <c r="N5" s="703"/>
      <c r="O5" s="703"/>
      <c r="P5" s="703"/>
      <c r="Q5" s="703"/>
      <c r="R5" s="555"/>
      <c r="S5" s="555"/>
      <c r="T5" s="555"/>
      <c r="U5" s="555"/>
      <c r="V5" s="704" t="s">
        <v>200</v>
      </c>
    </row>
    <row r="6" spans="1:22" ht="31.5" customHeigh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556" t="s">
        <v>201</v>
      </c>
      <c r="M6" s="556" t="s">
        <v>202</v>
      </c>
      <c r="N6" s="556" t="s">
        <v>203</v>
      </c>
      <c r="O6" s="557">
        <v>46296</v>
      </c>
      <c r="P6" s="556" t="s">
        <v>204</v>
      </c>
      <c r="Q6" s="557">
        <v>46357</v>
      </c>
      <c r="R6" s="557">
        <v>46388</v>
      </c>
      <c r="S6" s="557">
        <v>46419</v>
      </c>
      <c r="T6" s="557">
        <v>46447</v>
      </c>
      <c r="U6" s="557">
        <v>46478</v>
      </c>
      <c r="V6" s="705"/>
    </row>
    <row r="7" spans="1:22" ht="25.5">
      <c r="A7" s="558" t="s">
        <v>205</v>
      </c>
      <c r="B7" s="558" t="s">
        <v>65</v>
      </c>
      <c r="C7" s="559">
        <f>C8+C9+C10+C11+C12</f>
        <v>573137.88</v>
      </c>
      <c r="D7" s="560">
        <f>C7*26</f>
        <v>14901584.880000001</v>
      </c>
      <c r="E7" s="561"/>
      <c r="F7" s="561"/>
      <c r="G7" s="562">
        <f>SUM(G13:G19)</f>
        <v>26</v>
      </c>
      <c r="H7" s="563">
        <f>G7/26</f>
        <v>1</v>
      </c>
      <c r="I7" s="560">
        <f>SUM(I13:I19)</f>
        <v>14901584.880000001</v>
      </c>
      <c r="J7" s="561"/>
      <c r="K7" s="560">
        <f t="shared" ref="K7:U7" si="0">SUM(K13:K20)</f>
        <v>14901584.879999999</v>
      </c>
      <c r="L7" s="560">
        <f t="shared" si="0"/>
        <v>1117618.8659999999</v>
      </c>
      <c r="M7" s="560">
        <f t="shared" si="0"/>
        <v>2235237.7319999998</v>
      </c>
      <c r="N7" s="560">
        <f t="shared" si="0"/>
        <v>3352856.5979999998</v>
      </c>
      <c r="O7" s="560">
        <f t="shared" si="0"/>
        <v>4097935.8420000002</v>
      </c>
      <c r="P7" s="560">
        <f t="shared" si="0"/>
        <v>2235237.7319999998</v>
      </c>
      <c r="Q7" s="560">
        <f t="shared" si="0"/>
        <v>1862698.11</v>
      </c>
      <c r="R7" s="560">
        <f t="shared" si="0"/>
        <v>0</v>
      </c>
      <c r="S7" s="560">
        <f t="shared" si="0"/>
        <v>0</v>
      </c>
      <c r="T7" s="560">
        <f t="shared" si="0"/>
        <v>0</v>
      </c>
      <c r="U7" s="560">
        <f t="shared" si="0"/>
        <v>0</v>
      </c>
      <c r="V7" s="560">
        <f>SUM(L7:U7)</f>
        <v>14901584.879999999</v>
      </c>
    </row>
    <row r="8" spans="1:22">
      <c r="A8" s="564" t="s">
        <v>206</v>
      </c>
      <c r="B8" s="565"/>
      <c r="C8" s="566">
        <v>170028.6</v>
      </c>
      <c r="D8" s="567"/>
      <c r="E8" s="568"/>
      <c r="F8" s="568"/>
      <c r="G8" s="569"/>
      <c r="H8" s="570"/>
      <c r="I8" s="567"/>
      <c r="J8" s="568"/>
      <c r="K8" s="567"/>
      <c r="L8" s="567"/>
      <c r="M8" s="567" t="s">
        <v>207</v>
      </c>
      <c r="N8" s="567"/>
      <c r="O8" s="567"/>
      <c r="P8" s="567"/>
      <c r="Q8" s="567"/>
      <c r="R8" s="567"/>
      <c r="S8" s="567"/>
      <c r="T8" s="567"/>
      <c r="U8" s="567"/>
      <c r="V8" s="567"/>
    </row>
    <row r="9" spans="1:22">
      <c r="A9" s="564" t="s">
        <v>208</v>
      </c>
      <c r="B9" s="565"/>
      <c r="C9" s="566">
        <v>103706.4</v>
      </c>
      <c r="D9" s="567"/>
      <c r="E9" s="568"/>
      <c r="F9" s="568"/>
      <c r="G9" s="569"/>
      <c r="H9" s="570"/>
      <c r="I9" s="567"/>
      <c r="J9" s="568"/>
      <c r="K9" s="567"/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</row>
    <row r="10" spans="1:22">
      <c r="A10" s="564" t="s">
        <v>209</v>
      </c>
      <c r="B10" s="565"/>
      <c r="C10" s="566">
        <v>235879.67999999999</v>
      </c>
      <c r="D10" s="567"/>
      <c r="E10" s="568"/>
      <c r="F10" s="568"/>
      <c r="G10" s="569"/>
      <c r="H10" s="570"/>
      <c r="I10" s="567">
        <v>233</v>
      </c>
      <c r="J10" s="568"/>
      <c r="K10" s="567"/>
      <c r="L10" s="567"/>
      <c r="M10" s="567"/>
      <c r="N10" s="567"/>
      <c r="O10" s="567"/>
      <c r="P10" s="567"/>
      <c r="Q10" s="567"/>
      <c r="R10" s="567"/>
      <c r="S10" s="567"/>
      <c r="T10" s="567"/>
      <c r="U10" s="567"/>
      <c r="V10" s="567"/>
    </row>
    <row r="11" spans="1:22">
      <c r="A11" s="564" t="s">
        <v>210</v>
      </c>
      <c r="B11" s="565"/>
      <c r="C11" s="566">
        <f>23.25*60.2*2*6</f>
        <v>16795.800000000003</v>
      </c>
      <c r="D11" s="567"/>
      <c r="E11" s="568"/>
      <c r="F11" s="568"/>
      <c r="G11" s="571"/>
      <c r="H11" s="570"/>
      <c r="I11" s="567" t="s">
        <v>211</v>
      </c>
      <c r="J11" s="568"/>
      <c r="K11" s="567">
        <v>23232323</v>
      </c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</row>
    <row r="12" spans="1:22" ht="22.5">
      <c r="A12" s="564" t="s">
        <v>212</v>
      </c>
      <c r="B12" s="565"/>
      <c r="C12" s="566">
        <f>(3287.9*6)+(4500*6)</f>
        <v>46727.4</v>
      </c>
      <c r="D12" s="567"/>
      <c r="E12" s="568"/>
      <c r="F12" s="568"/>
      <c r="G12" s="569"/>
      <c r="H12" s="570"/>
      <c r="I12" s="567"/>
      <c r="J12" s="568"/>
      <c r="K12" s="567"/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</row>
    <row r="13" spans="1:22">
      <c r="A13" s="572" t="s">
        <v>213</v>
      </c>
      <c r="B13" s="573"/>
      <c r="C13" s="574"/>
      <c r="D13" s="574"/>
      <c r="E13" s="575">
        <v>1</v>
      </c>
      <c r="F13" s="576" t="s">
        <v>201</v>
      </c>
      <c r="G13" s="576">
        <v>13</v>
      </c>
      <c r="H13" s="577">
        <f>G13/26</f>
        <v>0.5</v>
      </c>
      <c r="I13" s="578">
        <f>G13*$C$7</f>
        <v>7450792.4400000004</v>
      </c>
      <c r="J13" s="579">
        <v>0.15</v>
      </c>
      <c r="K13" s="578">
        <f>$I$13*J13</f>
        <v>1117618.8659999999</v>
      </c>
      <c r="L13" s="578">
        <f>K13</f>
        <v>1117618.8659999999</v>
      </c>
      <c r="M13" s="578"/>
      <c r="N13" s="578"/>
      <c r="O13" s="578"/>
      <c r="P13" s="578"/>
      <c r="Q13" s="578"/>
      <c r="R13" s="578"/>
      <c r="S13" s="578"/>
      <c r="T13" s="578"/>
      <c r="U13" s="578"/>
      <c r="V13" s="578">
        <f>SUM(L13:T13)</f>
        <v>1117618.8659999999</v>
      </c>
    </row>
    <row r="14" spans="1:22">
      <c r="A14" s="572"/>
      <c r="B14" s="573"/>
      <c r="C14" s="574"/>
      <c r="D14" s="574"/>
      <c r="E14" s="575"/>
      <c r="F14" s="576" t="s">
        <v>202</v>
      </c>
      <c r="G14" s="576"/>
      <c r="H14" s="577"/>
      <c r="I14" s="578"/>
      <c r="J14" s="579">
        <v>0.3</v>
      </c>
      <c r="K14" s="578">
        <f t="shared" ref="K14:K16" si="1">$I$13*J14</f>
        <v>2235237.7319999998</v>
      </c>
      <c r="L14" s="578"/>
      <c r="M14" s="578">
        <f>K14</f>
        <v>2235237.7319999998</v>
      </c>
      <c r="N14" s="578"/>
      <c r="O14" s="578"/>
      <c r="P14" s="578"/>
      <c r="Q14" s="578"/>
      <c r="R14" s="578"/>
      <c r="S14" s="578"/>
      <c r="T14" s="578"/>
      <c r="U14" s="578"/>
      <c r="V14" s="578">
        <f t="shared" ref="V14:V20" si="2">SUM(L14:T14)</f>
        <v>2235237.7319999998</v>
      </c>
    </row>
    <row r="15" spans="1:22" ht="14.25" customHeight="1">
      <c r="A15" s="572"/>
      <c r="B15" s="573"/>
      <c r="C15" s="574"/>
      <c r="D15" s="574"/>
      <c r="E15" s="575"/>
      <c r="F15" s="580">
        <v>46266</v>
      </c>
      <c r="G15" s="576"/>
      <c r="H15" s="577"/>
      <c r="I15" s="578"/>
      <c r="J15" s="579">
        <v>0.3</v>
      </c>
      <c r="K15" s="578">
        <f t="shared" si="1"/>
        <v>2235237.7319999998</v>
      </c>
      <c r="L15" s="578"/>
      <c r="M15" s="578"/>
      <c r="N15" s="578">
        <f>K15</f>
        <v>2235237.7319999998</v>
      </c>
      <c r="O15" s="578"/>
      <c r="P15" s="578"/>
      <c r="Q15" s="578"/>
      <c r="R15" s="578"/>
      <c r="S15" s="578"/>
      <c r="T15" s="578"/>
      <c r="U15" s="578"/>
      <c r="V15" s="578">
        <f t="shared" si="2"/>
        <v>2235237.7319999998</v>
      </c>
    </row>
    <row r="16" spans="1:22" ht="14.25" customHeight="1">
      <c r="A16" s="572"/>
      <c r="B16" s="573"/>
      <c r="C16" s="574"/>
      <c r="D16" s="574"/>
      <c r="E16" s="575"/>
      <c r="F16" s="580">
        <v>46296</v>
      </c>
      <c r="G16" s="576"/>
      <c r="H16" s="577"/>
      <c r="I16" s="578"/>
      <c r="J16" s="579">
        <v>0.25</v>
      </c>
      <c r="K16" s="578">
        <f t="shared" si="1"/>
        <v>1862698.11</v>
      </c>
      <c r="L16" s="578"/>
      <c r="M16" s="578"/>
      <c r="N16" s="578"/>
      <c r="O16" s="578">
        <f>K16</f>
        <v>1862698.11</v>
      </c>
      <c r="P16" s="578"/>
      <c r="Q16" s="578"/>
      <c r="R16" s="578"/>
      <c r="S16" s="578"/>
      <c r="T16" s="578"/>
      <c r="U16" s="578"/>
      <c r="V16" s="578">
        <f t="shared" si="2"/>
        <v>1862698.11</v>
      </c>
    </row>
    <row r="17" spans="1:22">
      <c r="A17" s="572" t="s">
        <v>214</v>
      </c>
      <c r="B17" s="573"/>
      <c r="C17" s="574"/>
      <c r="D17" s="574"/>
      <c r="E17" s="575">
        <v>2</v>
      </c>
      <c r="F17" s="580">
        <v>46266</v>
      </c>
      <c r="G17" s="576">
        <v>13</v>
      </c>
      <c r="H17" s="577">
        <f t="shared" ref="H17" si="3">G17/26</f>
        <v>0.5</v>
      </c>
      <c r="I17" s="578">
        <f t="shared" ref="I17:I19" si="4">G17*$C$7</f>
        <v>7450792.4400000004</v>
      </c>
      <c r="J17" s="579">
        <v>0.15</v>
      </c>
      <c r="K17" s="578">
        <f>$I$17*J17</f>
        <v>1117618.8659999999</v>
      </c>
      <c r="L17" s="578"/>
      <c r="M17" s="578"/>
      <c r="N17" s="578">
        <f>K17</f>
        <v>1117618.8659999999</v>
      </c>
      <c r="O17" s="578"/>
      <c r="P17" s="578"/>
      <c r="Q17" s="578"/>
      <c r="R17" s="578"/>
      <c r="S17" s="578"/>
      <c r="T17" s="578"/>
      <c r="U17" s="578"/>
      <c r="V17" s="578">
        <f t="shared" si="2"/>
        <v>1117618.8659999999</v>
      </c>
    </row>
    <row r="18" spans="1:22">
      <c r="A18" s="572"/>
      <c r="B18" s="573"/>
      <c r="C18" s="574"/>
      <c r="D18" s="574"/>
      <c r="E18" s="575"/>
      <c r="F18" s="580">
        <v>46296</v>
      </c>
      <c r="G18" s="576"/>
      <c r="H18" s="577"/>
      <c r="I18" s="578">
        <f t="shared" si="4"/>
        <v>0</v>
      </c>
      <c r="J18" s="579">
        <v>0.3</v>
      </c>
      <c r="K18" s="578">
        <f t="shared" ref="K18:K20" si="5">$I$17*J18</f>
        <v>2235237.7319999998</v>
      </c>
      <c r="L18" s="578"/>
      <c r="M18" s="578"/>
      <c r="N18" s="578"/>
      <c r="O18" s="578">
        <f>K18</f>
        <v>2235237.7319999998</v>
      </c>
      <c r="P18" s="578"/>
      <c r="Q18" s="578"/>
      <c r="R18" s="578"/>
      <c r="S18" s="578"/>
      <c r="T18" s="578"/>
      <c r="U18" s="578"/>
      <c r="V18" s="578">
        <f t="shared" si="2"/>
        <v>2235237.7319999998</v>
      </c>
    </row>
    <row r="19" spans="1:22">
      <c r="A19" s="572"/>
      <c r="B19" s="573"/>
      <c r="C19" s="574"/>
      <c r="D19" s="574"/>
      <c r="E19" s="575"/>
      <c r="F19" s="580">
        <v>46327</v>
      </c>
      <c r="G19" s="576"/>
      <c r="H19" s="577"/>
      <c r="I19" s="578">
        <f t="shared" si="4"/>
        <v>0</v>
      </c>
      <c r="J19" s="579">
        <v>0.3</v>
      </c>
      <c r="K19" s="578">
        <f t="shared" si="5"/>
        <v>2235237.7319999998</v>
      </c>
      <c r="L19" s="578"/>
      <c r="M19" s="578"/>
      <c r="N19" s="578"/>
      <c r="O19" s="578"/>
      <c r="P19" s="578">
        <f>K19</f>
        <v>2235237.7319999998</v>
      </c>
      <c r="Q19" s="578"/>
      <c r="R19" s="578"/>
      <c r="S19" s="578"/>
      <c r="T19" s="578"/>
      <c r="U19" s="578"/>
      <c r="V19" s="578">
        <f t="shared" si="2"/>
        <v>2235237.7319999998</v>
      </c>
    </row>
    <row r="20" spans="1:22">
      <c r="A20" s="572"/>
      <c r="B20" s="573"/>
      <c r="C20" s="574"/>
      <c r="D20" s="574"/>
      <c r="E20" s="575"/>
      <c r="F20" s="580">
        <v>46357</v>
      </c>
      <c r="G20" s="576"/>
      <c r="H20" s="577"/>
      <c r="I20" s="578"/>
      <c r="J20" s="579">
        <v>0.25</v>
      </c>
      <c r="K20" s="578">
        <f t="shared" si="5"/>
        <v>1862698.11</v>
      </c>
      <c r="L20" s="578"/>
      <c r="M20" s="578"/>
      <c r="N20" s="578"/>
      <c r="O20" s="578"/>
      <c r="P20" s="578"/>
      <c r="Q20" s="578">
        <f>K20</f>
        <v>1862698.11</v>
      </c>
      <c r="R20" s="578"/>
      <c r="S20" s="578"/>
      <c r="T20" s="578"/>
      <c r="U20" s="578"/>
      <c r="V20" s="578">
        <f t="shared" si="2"/>
        <v>1862698.11</v>
      </c>
    </row>
    <row r="21" spans="1:22" ht="25.5">
      <c r="A21" s="558" t="s">
        <v>215</v>
      </c>
      <c r="B21" s="558" t="s">
        <v>216</v>
      </c>
      <c r="C21" s="559">
        <v>157126.44</v>
      </c>
      <c r="D21" s="560">
        <f>C21*26</f>
        <v>4085287.44</v>
      </c>
      <c r="E21" s="561"/>
      <c r="F21" s="561"/>
      <c r="G21" s="562">
        <f>SUM(G22:G26)</f>
        <v>26</v>
      </c>
      <c r="H21" s="563">
        <f t="shared" ref="H21:H51" si="6">G21/26</f>
        <v>1</v>
      </c>
      <c r="I21" s="560">
        <f>SUM(I22:I26)</f>
        <v>4085287.4399999995</v>
      </c>
      <c r="J21" s="561"/>
      <c r="K21" s="560">
        <f t="shared" ref="K21:U21" si="7">SUM(K22:K26)</f>
        <v>4085287.4399999995</v>
      </c>
      <c r="L21" s="560">
        <f t="shared" si="7"/>
        <v>0</v>
      </c>
      <c r="M21" s="560">
        <f t="shared" si="7"/>
        <v>942758.64</v>
      </c>
      <c r="N21" s="560">
        <f t="shared" si="7"/>
        <v>942758.64</v>
      </c>
      <c r="O21" s="560">
        <f t="shared" si="7"/>
        <v>942758.64</v>
      </c>
      <c r="P21" s="560">
        <f t="shared" si="7"/>
        <v>628505.76</v>
      </c>
      <c r="Q21" s="560">
        <f t="shared" si="7"/>
        <v>628505.76</v>
      </c>
      <c r="R21" s="560">
        <f t="shared" si="7"/>
        <v>0</v>
      </c>
      <c r="S21" s="560">
        <f t="shared" si="7"/>
        <v>0</v>
      </c>
      <c r="T21" s="560">
        <f t="shared" si="7"/>
        <v>0</v>
      </c>
      <c r="U21" s="560">
        <f t="shared" si="7"/>
        <v>0</v>
      </c>
      <c r="V21" s="560">
        <f>SUM(L21:U21)</f>
        <v>4085287.4399999995</v>
      </c>
    </row>
    <row r="22" spans="1:22">
      <c r="A22" s="572" t="s">
        <v>213</v>
      </c>
      <c r="B22" s="573"/>
      <c r="C22" s="574"/>
      <c r="D22" s="574"/>
      <c r="E22" s="575">
        <v>1</v>
      </c>
      <c r="F22" s="580">
        <v>46235</v>
      </c>
      <c r="G22" s="576">
        <v>6</v>
      </c>
      <c r="H22" s="577">
        <f t="shared" si="6"/>
        <v>0.23076923076923078</v>
      </c>
      <c r="I22" s="578">
        <f>G22*C21</f>
        <v>942758.64</v>
      </c>
      <c r="J22" s="579">
        <v>1</v>
      </c>
      <c r="K22" s="578">
        <f t="shared" ref="K22:K26" si="8">I22*J22</f>
        <v>942758.64</v>
      </c>
      <c r="L22" s="578"/>
      <c r="M22" s="578">
        <f>K22</f>
        <v>942758.64</v>
      </c>
      <c r="N22" s="578"/>
      <c r="O22" s="578"/>
      <c r="P22" s="578"/>
      <c r="Q22" s="578"/>
      <c r="R22" s="578"/>
      <c r="S22" s="578"/>
      <c r="T22" s="578"/>
      <c r="U22" s="578"/>
      <c r="V22" s="578">
        <f>SUM(L22:T22)</f>
        <v>942758.64</v>
      </c>
    </row>
    <row r="23" spans="1:22">
      <c r="A23" s="572" t="s">
        <v>214</v>
      </c>
      <c r="B23" s="573"/>
      <c r="C23" s="574"/>
      <c r="D23" s="574"/>
      <c r="E23" s="575">
        <v>2</v>
      </c>
      <c r="F23" s="580">
        <v>46266</v>
      </c>
      <c r="G23" s="576">
        <v>6</v>
      </c>
      <c r="H23" s="577">
        <f t="shared" si="6"/>
        <v>0.23076923076923078</v>
      </c>
      <c r="I23" s="578">
        <f>G23*C21</f>
        <v>942758.64</v>
      </c>
      <c r="J23" s="579">
        <v>1</v>
      </c>
      <c r="K23" s="578">
        <f t="shared" si="8"/>
        <v>942758.64</v>
      </c>
      <c r="L23" s="578"/>
      <c r="M23" s="578"/>
      <c r="N23" s="578">
        <f>K23</f>
        <v>942758.64</v>
      </c>
      <c r="O23" s="578"/>
      <c r="P23" s="578"/>
      <c r="Q23" s="578"/>
      <c r="R23" s="578"/>
      <c r="S23" s="578"/>
      <c r="T23" s="578"/>
      <c r="U23" s="578"/>
      <c r="V23" s="578">
        <f t="shared" ref="V23:V26" si="9">SUM(L23:T23)</f>
        <v>942758.64</v>
      </c>
    </row>
    <row r="24" spans="1:22">
      <c r="A24" s="572" t="s">
        <v>217</v>
      </c>
      <c r="B24" s="573"/>
      <c r="C24" s="574"/>
      <c r="D24" s="574"/>
      <c r="E24" s="575">
        <v>3</v>
      </c>
      <c r="F24" s="580">
        <v>46296</v>
      </c>
      <c r="G24" s="576">
        <v>6</v>
      </c>
      <c r="H24" s="577">
        <f t="shared" si="6"/>
        <v>0.23076923076923078</v>
      </c>
      <c r="I24" s="578">
        <f>G24*C21</f>
        <v>942758.64</v>
      </c>
      <c r="J24" s="579">
        <v>1</v>
      </c>
      <c r="K24" s="578">
        <f t="shared" si="8"/>
        <v>942758.64</v>
      </c>
      <c r="L24" s="578"/>
      <c r="M24" s="578"/>
      <c r="N24" s="578"/>
      <c r="O24" s="578">
        <f>K24</f>
        <v>942758.64</v>
      </c>
      <c r="P24" s="578"/>
      <c r="Q24" s="578"/>
      <c r="R24" s="578"/>
      <c r="S24" s="578"/>
      <c r="T24" s="578"/>
      <c r="U24" s="578"/>
      <c r="V24" s="578">
        <f t="shared" si="9"/>
        <v>942758.64</v>
      </c>
    </row>
    <row r="25" spans="1:22">
      <c r="A25" s="572" t="s">
        <v>218</v>
      </c>
      <c r="B25" s="573"/>
      <c r="C25" s="574"/>
      <c r="D25" s="574"/>
      <c r="E25" s="575">
        <v>4</v>
      </c>
      <c r="F25" s="580">
        <v>46327</v>
      </c>
      <c r="G25" s="576">
        <v>4</v>
      </c>
      <c r="H25" s="577">
        <f t="shared" si="6"/>
        <v>0.15384615384615385</v>
      </c>
      <c r="I25" s="578">
        <f>G25*C21</f>
        <v>628505.76</v>
      </c>
      <c r="J25" s="579">
        <v>1</v>
      </c>
      <c r="K25" s="578">
        <f t="shared" si="8"/>
        <v>628505.76</v>
      </c>
      <c r="L25" s="578"/>
      <c r="M25" s="578"/>
      <c r="N25" s="578"/>
      <c r="O25" s="578"/>
      <c r="P25" s="578">
        <f>K25</f>
        <v>628505.76</v>
      </c>
      <c r="Q25" s="578"/>
      <c r="R25" s="578"/>
      <c r="S25" s="578"/>
      <c r="T25" s="578"/>
      <c r="U25" s="578"/>
      <c r="V25" s="578">
        <f t="shared" si="9"/>
        <v>628505.76</v>
      </c>
    </row>
    <row r="26" spans="1:22">
      <c r="A26" s="572" t="s">
        <v>219</v>
      </c>
      <c r="B26" s="573"/>
      <c r="C26" s="574"/>
      <c r="D26" s="574"/>
      <c r="E26" s="575">
        <v>5</v>
      </c>
      <c r="F26" s="580">
        <v>46357</v>
      </c>
      <c r="G26" s="576">
        <v>4</v>
      </c>
      <c r="H26" s="577">
        <f t="shared" si="6"/>
        <v>0.15384615384615385</v>
      </c>
      <c r="I26" s="578">
        <f>G26*C21</f>
        <v>628505.76</v>
      </c>
      <c r="J26" s="579">
        <v>1</v>
      </c>
      <c r="K26" s="578">
        <f t="shared" si="8"/>
        <v>628505.76</v>
      </c>
      <c r="L26" s="578"/>
      <c r="M26" s="578"/>
      <c r="N26" s="578"/>
      <c r="O26" s="578"/>
      <c r="P26" s="578"/>
      <c r="Q26" s="578">
        <f>K26</f>
        <v>628505.76</v>
      </c>
      <c r="R26" s="578"/>
      <c r="S26" s="578"/>
      <c r="T26" s="578"/>
      <c r="U26" s="578"/>
      <c r="V26" s="578">
        <f t="shared" si="9"/>
        <v>628505.76</v>
      </c>
    </row>
    <row r="27" spans="1:22">
      <c r="A27" s="558" t="s">
        <v>220</v>
      </c>
      <c r="B27" s="558" t="s">
        <v>221</v>
      </c>
      <c r="C27" s="559">
        <v>394951.48</v>
      </c>
      <c r="D27" s="560">
        <f>C27*26</f>
        <v>10268738.48</v>
      </c>
      <c r="E27" s="561"/>
      <c r="F27" s="561"/>
      <c r="G27" s="562">
        <f>SUM(G28:G32)</f>
        <v>26</v>
      </c>
      <c r="H27" s="563">
        <f t="shared" si="6"/>
        <v>1</v>
      </c>
      <c r="I27" s="560">
        <f>SUM(I28:I32)</f>
        <v>10268738.479999999</v>
      </c>
      <c r="J27" s="561"/>
      <c r="K27" s="560">
        <f t="shared" ref="K27:U27" si="10">SUM(K28:K32)</f>
        <v>10268738.479999999</v>
      </c>
      <c r="L27" s="560">
        <f t="shared" si="10"/>
        <v>0</v>
      </c>
      <c r="M27" s="560">
        <f t="shared" si="10"/>
        <v>2369708.88</v>
      </c>
      <c r="N27" s="560">
        <f t="shared" si="10"/>
        <v>2369708.88</v>
      </c>
      <c r="O27" s="560">
        <f t="shared" si="10"/>
        <v>2369708.88</v>
      </c>
      <c r="P27" s="560">
        <f t="shared" si="10"/>
        <v>1579805.92</v>
      </c>
      <c r="Q27" s="560">
        <f t="shared" si="10"/>
        <v>1579805.92</v>
      </c>
      <c r="R27" s="560">
        <f t="shared" si="10"/>
        <v>0</v>
      </c>
      <c r="S27" s="560">
        <f t="shared" si="10"/>
        <v>0</v>
      </c>
      <c r="T27" s="560">
        <f t="shared" si="10"/>
        <v>0</v>
      </c>
      <c r="U27" s="560">
        <f t="shared" si="10"/>
        <v>0</v>
      </c>
      <c r="V27" s="560">
        <f>SUM(L27:U27)</f>
        <v>10268738.479999999</v>
      </c>
    </row>
    <row r="28" spans="1:22">
      <c r="A28" s="572" t="s">
        <v>213</v>
      </c>
      <c r="B28" s="573"/>
      <c r="C28" s="574"/>
      <c r="D28" s="574"/>
      <c r="E28" s="575">
        <v>1</v>
      </c>
      <c r="F28" s="580">
        <v>46235</v>
      </c>
      <c r="G28" s="576">
        <v>6</v>
      </c>
      <c r="H28" s="577">
        <f t="shared" si="6"/>
        <v>0.23076923076923078</v>
      </c>
      <c r="I28" s="578">
        <f t="shared" ref="I28:I32" si="11">G28*$C$27</f>
        <v>2369708.88</v>
      </c>
      <c r="J28" s="579">
        <v>1</v>
      </c>
      <c r="K28" s="578">
        <f t="shared" ref="K28:K32" si="12">I28*J28</f>
        <v>2369708.88</v>
      </c>
      <c r="L28" s="578"/>
      <c r="M28" s="578">
        <f>K28</f>
        <v>2369708.88</v>
      </c>
      <c r="N28" s="578"/>
      <c r="O28" s="578"/>
      <c r="P28" s="578"/>
      <c r="Q28" s="578"/>
      <c r="R28" s="578"/>
      <c r="S28" s="578"/>
      <c r="T28" s="578"/>
      <c r="U28" s="578"/>
      <c r="V28" s="578">
        <f>SUM(L28:T28)</f>
        <v>2369708.88</v>
      </c>
    </row>
    <row r="29" spans="1:22">
      <c r="A29" s="572" t="s">
        <v>214</v>
      </c>
      <c r="B29" s="573"/>
      <c r="C29" s="574"/>
      <c r="D29" s="574"/>
      <c r="E29" s="575">
        <v>2</v>
      </c>
      <c r="F29" s="580">
        <v>46266</v>
      </c>
      <c r="G29" s="576">
        <v>6</v>
      </c>
      <c r="H29" s="577">
        <f t="shared" si="6"/>
        <v>0.23076923076923078</v>
      </c>
      <c r="I29" s="578">
        <f t="shared" si="11"/>
        <v>2369708.88</v>
      </c>
      <c r="J29" s="579">
        <v>1</v>
      </c>
      <c r="K29" s="578">
        <f t="shared" si="12"/>
        <v>2369708.88</v>
      </c>
      <c r="L29" s="578"/>
      <c r="M29" s="578"/>
      <c r="N29" s="578">
        <f>K29</f>
        <v>2369708.88</v>
      </c>
      <c r="O29" s="578"/>
      <c r="P29" s="578"/>
      <c r="Q29" s="578"/>
      <c r="R29" s="578"/>
      <c r="S29" s="578"/>
      <c r="T29" s="578"/>
      <c r="U29" s="578"/>
      <c r="V29" s="578">
        <f t="shared" ref="V29:V32" si="13">SUM(L29:T29)</f>
        <v>2369708.88</v>
      </c>
    </row>
    <row r="30" spans="1:22">
      <c r="A30" s="572" t="s">
        <v>217</v>
      </c>
      <c r="B30" s="573"/>
      <c r="C30" s="574"/>
      <c r="D30" s="574"/>
      <c r="E30" s="575">
        <v>3</v>
      </c>
      <c r="F30" s="580">
        <v>46296</v>
      </c>
      <c r="G30" s="576">
        <v>6</v>
      </c>
      <c r="H30" s="577">
        <f t="shared" si="6"/>
        <v>0.23076923076923078</v>
      </c>
      <c r="I30" s="578">
        <f t="shared" si="11"/>
        <v>2369708.88</v>
      </c>
      <c r="J30" s="579">
        <v>1</v>
      </c>
      <c r="K30" s="578">
        <f t="shared" si="12"/>
        <v>2369708.88</v>
      </c>
      <c r="L30" s="578"/>
      <c r="M30" s="578"/>
      <c r="N30" s="578"/>
      <c r="O30" s="578">
        <f>K30</f>
        <v>2369708.88</v>
      </c>
      <c r="P30" s="578"/>
      <c r="Q30" s="578"/>
      <c r="R30" s="578"/>
      <c r="S30" s="578"/>
      <c r="T30" s="578"/>
      <c r="U30" s="578"/>
      <c r="V30" s="578">
        <f t="shared" si="13"/>
        <v>2369708.88</v>
      </c>
    </row>
    <row r="31" spans="1:22">
      <c r="A31" s="572" t="s">
        <v>218</v>
      </c>
      <c r="B31" s="573"/>
      <c r="C31" s="574"/>
      <c r="D31" s="574"/>
      <c r="E31" s="575">
        <v>4</v>
      </c>
      <c r="F31" s="580">
        <v>46327</v>
      </c>
      <c r="G31" s="576">
        <v>4</v>
      </c>
      <c r="H31" s="577">
        <f t="shared" si="6"/>
        <v>0.15384615384615385</v>
      </c>
      <c r="I31" s="578">
        <f t="shared" si="11"/>
        <v>1579805.92</v>
      </c>
      <c r="J31" s="579">
        <v>1</v>
      </c>
      <c r="K31" s="578">
        <f t="shared" si="12"/>
        <v>1579805.92</v>
      </c>
      <c r="L31" s="578"/>
      <c r="M31" s="578"/>
      <c r="N31" s="578"/>
      <c r="O31" s="578"/>
      <c r="P31" s="578">
        <f>K31</f>
        <v>1579805.92</v>
      </c>
      <c r="Q31" s="578"/>
      <c r="R31" s="578"/>
      <c r="S31" s="578"/>
      <c r="T31" s="578"/>
      <c r="U31" s="578"/>
      <c r="V31" s="578">
        <f t="shared" si="13"/>
        <v>1579805.92</v>
      </c>
    </row>
    <row r="32" spans="1:22">
      <c r="A32" s="572" t="s">
        <v>219</v>
      </c>
      <c r="B32" s="573"/>
      <c r="C32" s="574"/>
      <c r="D32" s="574"/>
      <c r="E32" s="575">
        <v>5</v>
      </c>
      <c r="F32" s="580">
        <v>46357</v>
      </c>
      <c r="G32" s="576">
        <v>4</v>
      </c>
      <c r="H32" s="577">
        <f t="shared" si="6"/>
        <v>0.15384615384615385</v>
      </c>
      <c r="I32" s="578">
        <f t="shared" si="11"/>
        <v>1579805.92</v>
      </c>
      <c r="J32" s="579">
        <v>1</v>
      </c>
      <c r="K32" s="578">
        <f t="shared" si="12"/>
        <v>1579805.92</v>
      </c>
      <c r="L32" s="578"/>
      <c r="M32" s="578"/>
      <c r="N32" s="578"/>
      <c r="O32" s="578"/>
      <c r="P32" s="578"/>
      <c r="Q32" s="578">
        <f>K32</f>
        <v>1579805.92</v>
      </c>
      <c r="R32" s="578"/>
      <c r="S32" s="578"/>
      <c r="T32" s="578"/>
      <c r="U32" s="578"/>
      <c r="V32" s="578">
        <f t="shared" si="13"/>
        <v>1579805.92</v>
      </c>
    </row>
    <row r="33" spans="1:22" ht="25.5">
      <c r="A33" s="558" t="s">
        <v>222</v>
      </c>
      <c r="B33" s="558" t="s">
        <v>223</v>
      </c>
      <c r="C33" s="559">
        <f>((31500/1200)*60)*100</f>
        <v>157500</v>
      </c>
      <c r="D33" s="560">
        <f>C33*26</f>
        <v>4095000</v>
      </c>
      <c r="E33" s="561"/>
      <c r="F33" s="561"/>
      <c r="G33" s="562">
        <f>SUM(G34:G35)</f>
        <v>26</v>
      </c>
      <c r="H33" s="563">
        <f t="shared" si="6"/>
        <v>1</v>
      </c>
      <c r="I33" s="560">
        <f>SUM(I34:I35)</f>
        <v>4095000</v>
      </c>
      <c r="J33" s="561"/>
      <c r="K33" s="560">
        <f t="shared" ref="K33:U33" si="14">SUM(K34:K35)</f>
        <v>4095000</v>
      </c>
      <c r="L33" s="560">
        <f t="shared" si="14"/>
        <v>2047500</v>
      </c>
      <c r="M33" s="560">
        <f t="shared" si="14"/>
        <v>0</v>
      </c>
      <c r="N33" s="560">
        <f t="shared" si="14"/>
        <v>2047500</v>
      </c>
      <c r="O33" s="560">
        <f t="shared" si="14"/>
        <v>0</v>
      </c>
      <c r="P33" s="560">
        <f t="shared" si="14"/>
        <v>0</v>
      </c>
      <c r="Q33" s="560">
        <f t="shared" si="14"/>
        <v>0</v>
      </c>
      <c r="R33" s="560">
        <f t="shared" si="14"/>
        <v>0</v>
      </c>
      <c r="S33" s="560">
        <f t="shared" si="14"/>
        <v>0</v>
      </c>
      <c r="T33" s="560">
        <f t="shared" si="14"/>
        <v>0</v>
      </c>
      <c r="U33" s="560">
        <f t="shared" si="14"/>
        <v>0</v>
      </c>
      <c r="V33" s="560">
        <f>SUM(L33:U33)</f>
        <v>4095000</v>
      </c>
    </row>
    <row r="34" spans="1:22">
      <c r="A34" s="572" t="s">
        <v>213</v>
      </c>
      <c r="B34" s="573"/>
      <c r="C34" s="574"/>
      <c r="D34" s="574"/>
      <c r="E34" s="575">
        <v>1</v>
      </c>
      <c r="F34" s="580">
        <v>46204</v>
      </c>
      <c r="G34" s="576">
        <v>13</v>
      </c>
      <c r="H34" s="577">
        <f t="shared" si="6"/>
        <v>0.5</v>
      </c>
      <c r="I34" s="578">
        <f>G34*$C$33</f>
        <v>2047500</v>
      </c>
      <c r="J34" s="579">
        <v>1</v>
      </c>
      <c r="K34" s="578">
        <f t="shared" ref="K34:K35" si="15">I34*J34</f>
        <v>2047500</v>
      </c>
      <c r="L34" s="578">
        <f>K34</f>
        <v>2047500</v>
      </c>
      <c r="M34" s="578"/>
      <c r="N34" s="578"/>
      <c r="O34" s="578"/>
      <c r="P34" s="578"/>
      <c r="Q34" s="578"/>
      <c r="R34" s="578"/>
      <c r="S34" s="578"/>
      <c r="T34" s="578"/>
      <c r="U34" s="578"/>
      <c r="V34" s="578">
        <f>SUM(L34:T34)</f>
        <v>2047500</v>
      </c>
    </row>
    <row r="35" spans="1:22">
      <c r="A35" s="572" t="s">
        <v>214</v>
      </c>
      <c r="B35" s="573"/>
      <c r="C35" s="574"/>
      <c r="D35" s="574"/>
      <c r="E35" s="575">
        <v>2</v>
      </c>
      <c r="F35" s="576" t="s">
        <v>203</v>
      </c>
      <c r="G35" s="576">
        <v>13</v>
      </c>
      <c r="H35" s="577">
        <f t="shared" si="6"/>
        <v>0.5</v>
      </c>
      <c r="I35" s="578">
        <f t="shared" ref="I35" si="16">G35*$C$33</f>
        <v>2047500</v>
      </c>
      <c r="J35" s="579">
        <v>1</v>
      </c>
      <c r="K35" s="578">
        <f t="shared" si="15"/>
        <v>2047500</v>
      </c>
      <c r="L35" s="578"/>
      <c r="M35" s="578"/>
      <c r="N35" s="578">
        <f>K35</f>
        <v>2047500</v>
      </c>
      <c r="O35" s="578"/>
      <c r="P35" s="578"/>
      <c r="Q35" s="578"/>
      <c r="R35" s="578"/>
      <c r="S35" s="578"/>
      <c r="T35" s="578"/>
      <c r="U35" s="578"/>
      <c r="V35" s="578">
        <f t="shared" ref="V35" si="17">SUM(L35:T35)</f>
        <v>2047500</v>
      </c>
    </row>
    <row r="36" spans="1:22" ht="25.5">
      <c r="A36" s="558" t="s">
        <v>224</v>
      </c>
      <c r="B36" s="558" t="s">
        <v>223</v>
      </c>
      <c r="C36" s="559">
        <f>(16.2*26*885)+(20*27*885)</f>
        <v>850662</v>
      </c>
      <c r="D36" s="560">
        <f>C36*26</f>
        <v>22117212</v>
      </c>
      <c r="E36" s="561"/>
      <c r="F36" s="561"/>
      <c r="G36" s="562">
        <f>SUM(G37:G41)</f>
        <v>26</v>
      </c>
      <c r="H36" s="563">
        <f t="shared" si="6"/>
        <v>1</v>
      </c>
      <c r="I36" s="560">
        <f>SUM(I37:I41)</f>
        <v>22117212</v>
      </c>
      <c r="J36" s="561"/>
      <c r="K36" s="560">
        <f>SUM(K37:K41)</f>
        <v>22117212</v>
      </c>
      <c r="L36" s="560">
        <f t="shared" ref="L36" si="18">SUM(L37:L40)</f>
        <v>0</v>
      </c>
      <c r="M36" s="560">
        <f>SUM(M37:M41)</f>
        <v>5103972</v>
      </c>
      <c r="N36" s="560">
        <f t="shared" ref="N36:U36" si="19">SUM(N37:N41)</f>
        <v>5103972</v>
      </c>
      <c r="O36" s="560">
        <f t="shared" si="19"/>
        <v>5103972</v>
      </c>
      <c r="P36" s="560">
        <f t="shared" si="19"/>
        <v>3402648</v>
      </c>
      <c r="Q36" s="560">
        <f t="shared" si="19"/>
        <v>3402648</v>
      </c>
      <c r="R36" s="560">
        <f t="shared" si="19"/>
        <v>0</v>
      </c>
      <c r="S36" s="560">
        <f t="shared" si="19"/>
        <v>0</v>
      </c>
      <c r="T36" s="560">
        <f t="shared" si="19"/>
        <v>0</v>
      </c>
      <c r="U36" s="560">
        <f t="shared" si="19"/>
        <v>0</v>
      </c>
      <c r="V36" s="560">
        <f>SUM(L36:U36)</f>
        <v>22117212</v>
      </c>
    </row>
    <row r="37" spans="1:22">
      <c r="A37" s="572" t="s">
        <v>213</v>
      </c>
      <c r="B37" s="573"/>
      <c r="C37" s="574"/>
      <c r="D37" s="574"/>
      <c r="E37" s="575">
        <v>1</v>
      </c>
      <c r="F37" s="580">
        <v>46235</v>
      </c>
      <c r="G37" s="576">
        <v>6</v>
      </c>
      <c r="H37" s="577">
        <f t="shared" si="6"/>
        <v>0.23076923076923078</v>
      </c>
      <c r="I37" s="578">
        <f>G37*$C$36</f>
        <v>5103972</v>
      </c>
      <c r="J37" s="579">
        <v>1</v>
      </c>
      <c r="K37" s="578">
        <f t="shared" ref="K37:K41" si="20">I37*J37</f>
        <v>5103972</v>
      </c>
      <c r="L37" s="578"/>
      <c r="M37" s="578">
        <f>K37</f>
        <v>5103972</v>
      </c>
      <c r="N37" s="578"/>
      <c r="O37" s="578"/>
      <c r="P37" s="578"/>
      <c r="Q37" s="578"/>
      <c r="R37" s="578"/>
      <c r="S37" s="578"/>
      <c r="T37" s="578"/>
      <c r="U37" s="578"/>
      <c r="V37" s="578">
        <f>SUM(L37:T37)</f>
        <v>5103972</v>
      </c>
    </row>
    <row r="38" spans="1:22">
      <c r="A38" s="572" t="s">
        <v>214</v>
      </c>
      <c r="B38" s="573"/>
      <c r="C38" s="574"/>
      <c r="D38" s="574"/>
      <c r="E38" s="575">
        <v>2</v>
      </c>
      <c r="F38" s="576" t="s">
        <v>203</v>
      </c>
      <c r="G38" s="576">
        <v>6</v>
      </c>
      <c r="H38" s="577">
        <f t="shared" si="6"/>
        <v>0.23076923076923078</v>
      </c>
      <c r="I38" s="578">
        <f>G38*$C$36</f>
        <v>5103972</v>
      </c>
      <c r="J38" s="579">
        <v>1</v>
      </c>
      <c r="K38" s="578">
        <f t="shared" si="20"/>
        <v>5103972</v>
      </c>
      <c r="L38" s="578"/>
      <c r="M38" s="578"/>
      <c r="N38" s="578">
        <f>K38</f>
        <v>5103972</v>
      </c>
      <c r="O38" s="578"/>
      <c r="P38" s="578"/>
      <c r="Q38" s="578"/>
      <c r="R38" s="578"/>
      <c r="S38" s="578"/>
      <c r="T38" s="578"/>
      <c r="U38" s="578"/>
      <c r="V38" s="578">
        <f t="shared" ref="V38:V41" si="21">SUM(L38:T38)</f>
        <v>5103972</v>
      </c>
    </row>
    <row r="39" spans="1:22">
      <c r="A39" s="572" t="s">
        <v>217</v>
      </c>
      <c r="B39" s="573"/>
      <c r="C39" s="574"/>
      <c r="D39" s="574"/>
      <c r="E39" s="575">
        <v>3</v>
      </c>
      <c r="F39" s="576" t="s">
        <v>225</v>
      </c>
      <c r="G39" s="576">
        <v>6</v>
      </c>
      <c r="H39" s="577">
        <f t="shared" si="6"/>
        <v>0.23076923076923078</v>
      </c>
      <c r="I39" s="578">
        <f>G39*$C$36</f>
        <v>5103972</v>
      </c>
      <c r="J39" s="579">
        <v>1</v>
      </c>
      <c r="K39" s="578">
        <f t="shared" si="20"/>
        <v>5103972</v>
      </c>
      <c r="L39" s="578"/>
      <c r="M39" s="578"/>
      <c r="N39" s="578"/>
      <c r="O39" s="578">
        <f>K39</f>
        <v>5103972</v>
      </c>
      <c r="P39" s="578"/>
      <c r="Q39" s="578"/>
      <c r="R39" s="578"/>
      <c r="S39" s="578"/>
      <c r="T39" s="578"/>
      <c r="U39" s="578"/>
      <c r="V39" s="578">
        <f t="shared" si="21"/>
        <v>5103972</v>
      </c>
    </row>
    <row r="40" spans="1:22">
      <c r="A40" s="572" t="s">
        <v>218</v>
      </c>
      <c r="B40" s="573"/>
      <c r="C40" s="574"/>
      <c r="D40" s="574"/>
      <c r="E40" s="575">
        <v>4</v>
      </c>
      <c r="F40" s="576" t="s">
        <v>204</v>
      </c>
      <c r="G40" s="576">
        <v>4</v>
      </c>
      <c r="H40" s="577">
        <f t="shared" si="6"/>
        <v>0.15384615384615385</v>
      </c>
      <c r="I40" s="578">
        <f>G40*$C$36</f>
        <v>3402648</v>
      </c>
      <c r="J40" s="579">
        <v>1</v>
      </c>
      <c r="K40" s="578">
        <f t="shared" si="20"/>
        <v>3402648</v>
      </c>
      <c r="L40" s="578"/>
      <c r="M40" s="578"/>
      <c r="N40" s="578"/>
      <c r="O40" s="578"/>
      <c r="P40" s="578">
        <f>K40</f>
        <v>3402648</v>
      </c>
      <c r="Q40" s="578"/>
      <c r="R40" s="578"/>
      <c r="S40" s="578"/>
      <c r="T40" s="578"/>
      <c r="U40" s="578"/>
      <c r="V40" s="578">
        <f t="shared" si="21"/>
        <v>3402648</v>
      </c>
    </row>
    <row r="41" spans="1:22">
      <c r="A41" s="572" t="s">
        <v>219</v>
      </c>
      <c r="B41" s="573"/>
      <c r="C41" s="574"/>
      <c r="D41" s="574"/>
      <c r="E41" s="575">
        <v>5</v>
      </c>
      <c r="F41" s="580">
        <v>46357</v>
      </c>
      <c r="G41" s="576">
        <v>4</v>
      </c>
      <c r="H41" s="577">
        <f t="shared" si="6"/>
        <v>0.15384615384615385</v>
      </c>
      <c r="I41" s="578">
        <f>G41*$C$36</f>
        <v>3402648</v>
      </c>
      <c r="J41" s="579">
        <v>1</v>
      </c>
      <c r="K41" s="578">
        <f t="shared" si="20"/>
        <v>3402648</v>
      </c>
      <c r="L41" s="578"/>
      <c r="M41" s="578"/>
      <c r="N41" s="578"/>
      <c r="O41" s="578"/>
      <c r="P41" s="578"/>
      <c r="Q41" s="578">
        <f>K41</f>
        <v>3402648</v>
      </c>
      <c r="R41" s="578"/>
      <c r="S41" s="578"/>
      <c r="T41" s="578"/>
      <c r="U41" s="578"/>
      <c r="V41" s="578">
        <f t="shared" si="21"/>
        <v>3402648</v>
      </c>
    </row>
    <row r="42" spans="1:22">
      <c r="A42" s="558" t="s">
        <v>226</v>
      </c>
      <c r="B42" s="558" t="s">
        <v>227</v>
      </c>
      <c r="C42" s="559">
        <v>98201.49</v>
      </c>
      <c r="D42" s="560">
        <f>C42*14</f>
        <v>1374820.86</v>
      </c>
      <c r="E42" s="561"/>
      <c r="F42" s="561"/>
      <c r="G42" s="562">
        <f>SUM(G43:G44)</f>
        <v>14</v>
      </c>
      <c r="H42" s="563">
        <f t="shared" si="6"/>
        <v>0.53846153846153844</v>
      </c>
      <c r="I42" s="560">
        <f>SUM(I43:I44)</f>
        <v>1374820.86</v>
      </c>
      <c r="J42" s="561"/>
      <c r="K42" s="560">
        <f>SUM(K43:K44)</f>
        <v>1374820.86</v>
      </c>
      <c r="L42" s="560">
        <f t="shared" ref="L42:T42" si="22">SUM(L43:L44)</f>
        <v>0</v>
      </c>
      <c r="M42" s="560">
        <f t="shared" si="22"/>
        <v>687410.43</v>
      </c>
      <c r="N42" s="560">
        <f t="shared" si="22"/>
        <v>687410.43</v>
      </c>
      <c r="O42" s="560">
        <f t="shared" si="22"/>
        <v>0</v>
      </c>
      <c r="P42" s="560">
        <f t="shared" si="22"/>
        <v>0</v>
      </c>
      <c r="Q42" s="560">
        <f t="shared" si="22"/>
        <v>0</v>
      </c>
      <c r="R42" s="560">
        <f t="shared" si="22"/>
        <v>0</v>
      </c>
      <c r="S42" s="560">
        <f t="shared" si="22"/>
        <v>0</v>
      </c>
      <c r="T42" s="560">
        <f t="shared" si="22"/>
        <v>0</v>
      </c>
      <c r="U42" s="560"/>
      <c r="V42" s="560">
        <f>SUM(L42:U42)</f>
        <v>1374820.86</v>
      </c>
    </row>
    <row r="43" spans="1:22">
      <c r="A43" s="572" t="s">
        <v>214</v>
      </c>
      <c r="B43" s="573"/>
      <c r="C43" s="574"/>
      <c r="D43" s="574"/>
      <c r="E43" s="575">
        <v>2</v>
      </c>
      <c r="F43" s="576" t="s">
        <v>202</v>
      </c>
      <c r="G43" s="576">
        <v>7</v>
      </c>
      <c r="H43" s="577">
        <f t="shared" si="6"/>
        <v>0.26923076923076922</v>
      </c>
      <c r="I43" s="578">
        <f>G43*C42</f>
        <v>687410.43</v>
      </c>
      <c r="J43" s="579">
        <v>1</v>
      </c>
      <c r="K43" s="578">
        <f t="shared" ref="K43:K44" si="23">I43*J43</f>
        <v>687410.43</v>
      </c>
      <c r="L43" s="578"/>
      <c r="M43" s="578">
        <f>K43</f>
        <v>687410.43</v>
      </c>
      <c r="N43" s="578"/>
      <c r="O43" s="578"/>
      <c r="P43" s="578"/>
      <c r="Q43" s="578"/>
      <c r="R43" s="578"/>
      <c r="S43" s="578"/>
      <c r="T43" s="578"/>
      <c r="U43" s="578"/>
      <c r="V43" s="578">
        <f>SUM(L43:T43)</f>
        <v>687410.43</v>
      </c>
    </row>
    <row r="44" spans="1:22">
      <c r="A44" s="572" t="s">
        <v>217</v>
      </c>
      <c r="B44" s="573"/>
      <c r="C44" s="574"/>
      <c r="D44" s="574"/>
      <c r="E44" s="575">
        <v>3</v>
      </c>
      <c r="F44" s="576" t="s">
        <v>203</v>
      </c>
      <c r="G44" s="576">
        <v>7</v>
      </c>
      <c r="H44" s="577">
        <f t="shared" si="6"/>
        <v>0.26923076923076922</v>
      </c>
      <c r="I44" s="578">
        <f>G44*C42</f>
        <v>687410.43</v>
      </c>
      <c r="J44" s="579">
        <v>1</v>
      </c>
      <c r="K44" s="578">
        <f t="shared" si="23"/>
        <v>687410.43</v>
      </c>
      <c r="L44" s="578"/>
      <c r="M44" s="578"/>
      <c r="N44" s="578">
        <f>K44</f>
        <v>687410.43</v>
      </c>
      <c r="O44" s="578"/>
      <c r="P44" s="578"/>
      <c r="Q44" s="578"/>
      <c r="R44" s="578"/>
      <c r="S44" s="578"/>
      <c r="T44" s="578"/>
      <c r="U44" s="578"/>
      <c r="V44" s="578">
        <f>SUM(L44:T44)</f>
        <v>687410.43</v>
      </c>
    </row>
    <row r="45" spans="1:22" ht="25.5">
      <c r="A45" s="558" t="s">
        <v>228</v>
      </c>
      <c r="B45" s="558" t="s">
        <v>229</v>
      </c>
      <c r="C45" s="559">
        <v>112488.65</v>
      </c>
      <c r="D45" s="560">
        <f>C45*23</f>
        <v>2587238.9499999997</v>
      </c>
      <c r="E45" s="561"/>
      <c r="F45" s="561"/>
      <c r="G45" s="562">
        <f>SUM(G46:G49)</f>
        <v>23</v>
      </c>
      <c r="H45" s="563">
        <f t="shared" si="6"/>
        <v>0.88461538461538458</v>
      </c>
      <c r="I45" s="560">
        <f>SUM(I46:I49)</f>
        <v>2587238.9499999997</v>
      </c>
      <c r="J45" s="561"/>
      <c r="K45" s="560">
        <f>SUM(K46:K49)</f>
        <v>2587238.9499999997</v>
      </c>
      <c r="L45" s="560">
        <f t="shared" ref="L45:T45" si="24">SUM(L46:L49)</f>
        <v>0</v>
      </c>
      <c r="M45" s="560">
        <f t="shared" si="24"/>
        <v>674931.89999999991</v>
      </c>
      <c r="N45" s="560">
        <f t="shared" si="24"/>
        <v>674931.89999999991</v>
      </c>
      <c r="O45" s="560">
        <f t="shared" si="24"/>
        <v>674931.89999999991</v>
      </c>
      <c r="P45" s="560">
        <f t="shared" si="24"/>
        <v>562443.25</v>
      </c>
      <c r="Q45" s="560">
        <f t="shared" si="24"/>
        <v>0</v>
      </c>
      <c r="R45" s="560">
        <f t="shared" si="24"/>
        <v>0</v>
      </c>
      <c r="S45" s="560">
        <f t="shared" si="24"/>
        <v>0</v>
      </c>
      <c r="T45" s="560">
        <f t="shared" si="24"/>
        <v>0</v>
      </c>
      <c r="U45" s="560"/>
      <c r="V45" s="560">
        <f>SUM(L45:U45)</f>
        <v>2587238.9499999997</v>
      </c>
    </row>
    <row r="46" spans="1:22">
      <c r="A46" s="572" t="s">
        <v>214</v>
      </c>
      <c r="B46" s="572"/>
      <c r="C46" s="574"/>
      <c r="D46" s="574"/>
      <c r="E46" s="575">
        <v>1</v>
      </c>
      <c r="F46" s="580">
        <v>46235</v>
      </c>
      <c r="G46" s="576">
        <v>6</v>
      </c>
      <c r="H46" s="577">
        <f t="shared" si="6"/>
        <v>0.23076923076923078</v>
      </c>
      <c r="I46" s="578">
        <f>G46*C45</f>
        <v>674931.89999999991</v>
      </c>
      <c r="J46" s="579">
        <v>1</v>
      </c>
      <c r="K46" s="578">
        <f t="shared" ref="K46:K49" si="25">I46*J46</f>
        <v>674931.89999999991</v>
      </c>
      <c r="L46" s="578"/>
      <c r="M46" s="578">
        <f>K46</f>
        <v>674931.89999999991</v>
      </c>
      <c r="N46" s="578"/>
      <c r="O46" s="578"/>
      <c r="P46" s="578"/>
      <c r="Q46" s="578"/>
      <c r="R46" s="578"/>
      <c r="S46" s="578"/>
      <c r="T46" s="578"/>
      <c r="U46" s="578"/>
      <c r="V46" s="578">
        <f>SUM(L46:T46)</f>
        <v>674931.89999999991</v>
      </c>
    </row>
    <row r="47" spans="1:22">
      <c r="A47" s="572" t="s">
        <v>217</v>
      </c>
      <c r="B47" s="573"/>
      <c r="C47" s="574"/>
      <c r="D47" s="574"/>
      <c r="E47" s="575">
        <v>2</v>
      </c>
      <c r="F47" s="580">
        <v>46266</v>
      </c>
      <c r="G47" s="576">
        <v>6</v>
      </c>
      <c r="H47" s="577">
        <f t="shared" si="6"/>
        <v>0.23076923076923078</v>
      </c>
      <c r="I47" s="578">
        <f>G47*C45</f>
        <v>674931.89999999991</v>
      </c>
      <c r="J47" s="579">
        <v>1</v>
      </c>
      <c r="K47" s="578">
        <f t="shared" si="25"/>
        <v>674931.89999999991</v>
      </c>
      <c r="L47" s="578"/>
      <c r="M47" s="578" t="s">
        <v>187</v>
      </c>
      <c r="N47" s="578">
        <f>K47</f>
        <v>674931.89999999991</v>
      </c>
      <c r="O47" s="578"/>
      <c r="P47" s="578"/>
      <c r="Q47" s="578"/>
      <c r="R47" s="578"/>
      <c r="S47" s="578"/>
      <c r="T47" s="578"/>
      <c r="U47" s="578"/>
      <c r="V47" s="578">
        <f t="shared" ref="V47:V49" si="26">SUM(L47:T47)</f>
        <v>674931.89999999991</v>
      </c>
    </row>
    <row r="48" spans="1:22">
      <c r="A48" s="572" t="s">
        <v>218</v>
      </c>
      <c r="B48" s="573"/>
      <c r="C48" s="574"/>
      <c r="D48" s="574"/>
      <c r="E48" s="575">
        <v>3</v>
      </c>
      <c r="F48" s="580">
        <v>46327</v>
      </c>
      <c r="G48" s="576">
        <v>6</v>
      </c>
      <c r="H48" s="577">
        <f t="shared" si="6"/>
        <v>0.23076923076923078</v>
      </c>
      <c r="I48" s="578">
        <f>C45*G48</f>
        <v>674931.89999999991</v>
      </c>
      <c r="J48" s="579">
        <v>1</v>
      </c>
      <c r="K48" s="578">
        <f t="shared" si="25"/>
        <v>674931.89999999991</v>
      </c>
      <c r="L48" s="578"/>
      <c r="M48" s="578"/>
      <c r="N48" s="578"/>
      <c r="O48" s="578">
        <f>K48</f>
        <v>674931.89999999991</v>
      </c>
      <c r="P48" s="578"/>
      <c r="Q48" s="578"/>
      <c r="R48" s="578"/>
      <c r="S48" s="578"/>
      <c r="T48" s="578"/>
      <c r="U48" s="578"/>
      <c r="V48" s="578">
        <f t="shared" si="26"/>
        <v>674931.89999999991</v>
      </c>
    </row>
    <row r="49" spans="1:22">
      <c r="A49" s="572" t="s">
        <v>219</v>
      </c>
      <c r="B49" s="573"/>
      <c r="C49" s="574"/>
      <c r="D49" s="574"/>
      <c r="E49" s="575">
        <v>4</v>
      </c>
      <c r="F49" s="576" t="s">
        <v>225</v>
      </c>
      <c r="G49" s="576">
        <v>5</v>
      </c>
      <c r="H49" s="577">
        <f t="shared" si="6"/>
        <v>0.19230769230769232</v>
      </c>
      <c r="I49" s="578">
        <f>C45*G49</f>
        <v>562443.25</v>
      </c>
      <c r="J49" s="579">
        <v>1</v>
      </c>
      <c r="K49" s="578">
        <f t="shared" si="25"/>
        <v>562443.25</v>
      </c>
      <c r="L49" s="578"/>
      <c r="M49" s="578"/>
      <c r="N49" s="578"/>
      <c r="O49" s="578"/>
      <c r="P49" s="578">
        <f>K49</f>
        <v>562443.25</v>
      </c>
      <c r="Q49" s="578"/>
      <c r="R49" s="578"/>
      <c r="S49" s="578"/>
      <c r="T49" s="578"/>
      <c r="U49" s="578"/>
      <c r="V49" s="578">
        <f t="shared" si="26"/>
        <v>562443.25</v>
      </c>
    </row>
    <row r="50" spans="1:22">
      <c r="A50" s="558" t="s">
        <v>230</v>
      </c>
      <c r="B50" s="558" t="s">
        <v>115</v>
      </c>
      <c r="C50" s="559">
        <v>701125.32</v>
      </c>
      <c r="D50" s="560">
        <f>C50*26</f>
        <v>18229258.32</v>
      </c>
      <c r="E50" s="561"/>
      <c r="F50" s="561"/>
      <c r="G50" s="562">
        <f>SUM(G51:G62)</f>
        <v>26</v>
      </c>
      <c r="H50" s="563">
        <f t="shared" si="6"/>
        <v>1</v>
      </c>
      <c r="I50" s="560">
        <f>SUM(I51:I62)</f>
        <v>18229258.32</v>
      </c>
      <c r="J50" s="561"/>
      <c r="K50" s="560">
        <f t="shared" ref="K50:U50" si="27">SUM(K51:K62)</f>
        <v>18229258.32</v>
      </c>
      <c r="L50" s="560">
        <f t="shared" si="27"/>
        <v>2734388.7480000001</v>
      </c>
      <c r="M50" s="560">
        <f t="shared" si="27"/>
        <v>1822925.8320000002</v>
      </c>
      <c r="N50" s="560">
        <f t="shared" si="27"/>
        <v>4557314.58</v>
      </c>
      <c r="O50" s="560">
        <f t="shared" si="27"/>
        <v>2734388.7480000001</v>
      </c>
      <c r="P50" s="560">
        <f t="shared" si="27"/>
        <v>2734388.7480000001</v>
      </c>
      <c r="Q50" s="560">
        <f t="shared" si="27"/>
        <v>1822925.8320000002</v>
      </c>
      <c r="R50" s="560">
        <f t="shared" si="27"/>
        <v>911462.91600000008</v>
      </c>
      <c r="S50" s="560">
        <f t="shared" si="27"/>
        <v>911462.91600000008</v>
      </c>
      <c r="T50" s="560">
        <f t="shared" si="27"/>
        <v>0</v>
      </c>
      <c r="U50" s="560">
        <f t="shared" si="27"/>
        <v>0</v>
      </c>
      <c r="V50" s="560">
        <f>SUM(L50:U50)</f>
        <v>18229258.32</v>
      </c>
    </row>
    <row r="51" spans="1:22">
      <c r="A51" s="572" t="s">
        <v>213</v>
      </c>
      <c r="B51" s="573"/>
      <c r="C51" s="574"/>
      <c r="D51" s="574"/>
      <c r="E51" s="575">
        <v>1</v>
      </c>
      <c r="F51" s="576" t="s">
        <v>201</v>
      </c>
      <c r="G51" s="576">
        <v>13</v>
      </c>
      <c r="H51" s="577">
        <f t="shared" si="6"/>
        <v>0.5</v>
      </c>
      <c r="I51" s="578">
        <f t="shared" ref="I51:I62" si="28">G51*$C$50</f>
        <v>9114629.1600000001</v>
      </c>
      <c r="J51" s="579">
        <v>0.3</v>
      </c>
      <c r="K51" s="578">
        <f>$I$51*J51</f>
        <v>2734388.7480000001</v>
      </c>
      <c r="L51" s="578">
        <f>K51</f>
        <v>2734388.7480000001</v>
      </c>
      <c r="M51" s="578"/>
      <c r="N51" s="578"/>
      <c r="O51" s="578"/>
      <c r="P51" s="578"/>
      <c r="Q51" s="578"/>
      <c r="R51" s="578"/>
      <c r="S51" s="578"/>
      <c r="T51" s="578"/>
      <c r="U51" s="578"/>
      <c r="V51" s="578">
        <f>SUM(L51:T51)</f>
        <v>2734388.7480000001</v>
      </c>
    </row>
    <row r="52" spans="1:22">
      <c r="A52" s="572"/>
      <c r="B52" s="573"/>
      <c r="C52" s="574"/>
      <c r="D52" s="574"/>
      <c r="E52" s="575"/>
      <c r="F52" s="580">
        <v>46235</v>
      </c>
      <c r="G52" s="576"/>
      <c r="H52" s="577"/>
      <c r="I52" s="578"/>
      <c r="J52" s="579">
        <v>0.2</v>
      </c>
      <c r="K52" s="578">
        <f t="shared" ref="K52:K56" si="29">$I$51*J52</f>
        <v>1822925.8320000002</v>
      </c>
      <c r="L52" s="578"/>
      <c r="M52" s="578">
        <f>K52</f>
        <v>1822925.8320000002</v>
      </c>
      <c r="N52" s="578"/>
      <c r="O52" s="578"/>
      <c r="P52" s="578"/>
      <c r="Q52" s="578"/>
      <c r="R52" s="578"/>
      <c r="S52" s="578"/>
      <c r="T52" s="578"/>
      <c r="U52" s="578"/>
      <c r="V52" s="578">
        <f t="shared" ref="V52:V62" si="30">SUM(L52:T52)</f>
        <v>1822925.8320000002</v>
      </c>
    </row>
    <row r="53" spans="1:22">
      <c r="A53" s="572"/>
      <c r="B53" s="573"/>
      <c r="C53" s="574"/>
      <c r="D53" s="574"/>
      <c r="E53" s="575"/>
      <c r="F53" s="580">
        <v>46266</v>
      </c>
      <c r="G53" s="576"/>
      <c r="H53" s="577"/>
      <c r="I53" s="578"/>
      <c r="J53" s="579">
        <v>0.2</v>
      </c>
      <c r="K53" s="578">
        <f t="shared" si="29"/>
        <v>1822925.8320000002</v>
      </c>
      <c r="L53" s="578"/>
      <c r="M53" s="578"/>
      <c r="N53" s="578">
        <f>K53</f>
        <v>1822925.8320000002</v>
      </c>
      <c r="O53" s="578"/>
      <c r="P53" s="578"/>
      <c r="Q53" s="578"/>
      <c r="R53" s="578"/>
      <c r="S53" s="578"/>
      <c r="T53" s="578"/>
      <c r="U53" s="578"/>
      <c r="V53" s="578">
        <f t="shared" si="30"/>
        <v>1822925.8320000002</v>
      </c>
    </row>
    <row r="54" spans="1:22">
      <c r="A54" s="572"/>
      <c r="B54" s="573"/>
      <c r="C54" s="574"/>
      <c r="D54" s="574"/>
      <c r="E54" s="575"/>
      <c r="F54" s="580">
        <v>46296</v>
      </c>
      <c r="G54" s="576"/>
      <c r="H54" s="577"/>
      <c r="I54" s="578"/>
      <c r="J54" s="579">
        <v>0.1</v>
      </c>
      <c r="K54" s="578">
        <f t="shared" si="29"/>
        <v>911462.91600000008</v>
      </c>
      <c r="L54" s="578"/>
      <c r="M54" s="578"/>
      <c r="N54" s="578"/>
      <c r="O54" s="578">
        <f>K54</f>
        <v>911462.91600000008</v>
      </c>
      <c r="P54" s="578"/>
      <c r="Q54" s="578"/>
      <c r="R54" s="578"/>
      <c r="S54" s="578"/>
      <c r="T54" s="578"/>
      <c r="U54" s="578"/>
      <c r="V54" s="578">
        <f t="shared" si="30"/>
        <v>911462.91600000008</v>
      </c>
    </row>
    <row r="55" spans="1:22">
      <c r="A55" s="572"/>
      <c r="B55" s="573"/>
      <c r="C55" s="574"/>
      <c r="D55" s="574"/>
      <c r="E55" s="575"/>
      <c r="F55" s="580">
        <v>46327</v>
      </c>
      <c r="G55" s="576"/>
      <c r="H55" s="577"/>
      <c r="I55" s="578"/>
      <c r="J55" s="579">
        <v>0.1</v>
      </c>
      <c r="K55" s="578">
        <f t="shared" si="29"/>
        <v>911462.91600000008</v>
      </c>
      <c r="L55" s="578"/>
      <c r="M55" s="578"/>
      <c r="N55" s="578"/>
      <c r="O55" s="578"/>
      <c r="P55" s="578">
        <f>K55</f>
        <v>911462.91600000008</v>
      </c>
      <c r="Q55" s="578"/>
      <c r="R55" s="578"/>
      <c r="S55" s="578"/>
      <c r="T55" s="578"/>
      <c r="U55" s="578"/>
      <c r="V55" s="578">
        <f t="shared" si="30"/>
        <v>911462.91600000008</v>
      </c>
    </row>
    <row r="56" spans="1:22">
      <c r="A56" s="572" t="s">
        <v>214</v>
      </c>
      <c r="B56" s="573"/>
      <c r="C56" s="574"/>
      <c r="D56" s="574"/>
      <c r="E56" s="575"/>
      <c r="F56" s="580">
        <v>46296</v>
      </c>
      <c r="G56" s="576"/>
      <c r="H56" s="577"/>
      <c r="I56" s="578"/>
      <c r="J56" s="579">
        <v>0.1</v>
      </c>
      <c r="K56" s="578">
        <f t="shared" si="29"/>
        <v>911462.91600000008</v>
      </c>
      <c r="L56" s="578"/>
      <c r="M56" s="578"/>
      <c r="N56" s="578"/>
      <c r="O56" s="578"/>
      <c r="P56" s="578"/>
      <c r="Q56" s="578">
        <f>K56</f>
        <v>911462.91600000008</v>
      </c>
      <c r="R56" s="578"/>
      <c r="S56" s="578"/>
      <c r="T56" s="578"/>
      <c r="U56" s="578"/>
      <c r="V56" s="578">
        <f t="shared" si="30"/>
        <v>911462.91600000008</v>
      </c>
    </row>
    <row r="57" spans="1:22">
      <c r="A57" s="572"/>
      <c r="B57" s="573"/>
      <c r="C57" s="574"/>
      <c r="D57" s="574"/>
      <c r="E57" s="575">
        <v>2</v>
      </c>
      <c r="F57" s="580">
        <v>46266</v>
      </c>
      <c r="G57" s="576">
        <v>13</v>
      </c>
      <c r="H57" s="577">
        <f>G57/26</f>
        <v>0.5</v>
      </c>
      <c r="I57" s="578">
        <f t="shared" si="28"/>
        <v>9114629.1600000001</v>
      </c>
      <c r="J57" s="579">
        <v>0.3</v>
      </c>
      <c r="K57" s="578">
        <f>$I$57*J57</f>
        <v>2734388.7480000001</v>
      </c>
      <c r="L57" s="578"/>
      <c r="M57" s="578"/>
      <c r="N57" s="578">
        <f>K57</f>
        <v>2734388.7480000001</v>
      </c>
      <c r="O57" s="578"/>
      <c r="P57" s="578"/>
      <c r="Q57" s="578"/>
      <c r="R57" s="578"/>
      <c r="S57" s="578"/>
      <c r="T57" s="578"/>
      <c r="U57" s="578"/>
      <c r="V57" s="578">
        <f t="shared" si="30"/>
        <v>2734388.7480000001</v>
      </c>
    </row>
    <row r="58" spans="1:22">
      <c r="A58" s="572"/>
      <c r="B58" s="573"/>
      <c r="C58" s="574"/>
      <c r="D58" s="574"/>
      <c r="E58" s="575"/>
      <c r="F58" s="576" t="s">
        <v>225</v>
      </c>
      <c r="G58" s="576"/>
      <c r="H58" s="577"/>
      <c r="I58" s="578">
        <f t="shared" si="28"/>
        <v>0</v>
      </c>
      <c r="J58" s="579">
        <f>20%</f>
        <v>0.2</v>
      </c>
      <c r="K58" s="578">
        <f t="shared" ref="K58:K62" si="31">$I$57*J58</f>
        <v>1822925.8320000002</v>
      </c>
      <c r="L58" s="578"/>
      <c r="M58" s="578"/>
      <c r="N58" s="578"/>
      <c r="O58" s="578">
        <f>K58</f>
        <v>1822925.8320000002</v>
      </c>
      <c r="P58" s="578"/>
      <c r="Q58" s="578"/>
      <c r="R58" s="578"/>
      <c r="S58" s="578"/>
      <c r="T58" s="578"/>
      <c r="U58" s="578"/>
      <c r="V58" s="578">
        <f t="shared" si="30"/>
        <v>1822925.8320000002</v>
      </c>
    </row>
    <row r="59" spans="1:22">
      <c r="A59" s="572"/>
      <c r="B59" s="573"/>
      <c r="C59" s="574"/>
      <c r="D59" s="574"/>
      <c r="E59" s="575"/>
      <c r="F59" s="580">
        <v>46327</v>
      </c>
      <c r="G59" s="576"/>
      <c r="H59" s="577"/>
      <c r="I59" s="578"/>
      <c r="J59" s="579">
        <v>0.2</v>
      </c>
      <c r="K59" s="578">
        <f t="shared" si="31"/>
        <v>1822925.8320000002</v>
      </c>
      <c r="L59" s="578"/>
      <c r="M59" s="578"/>
      <c r="N59" s="578"/>
      <c r="O59" s="578"/>
      <c r="P59" s="578">
        <f>K59</f>
        <v>1822925.8320000002</v>
      </c>
      <c r="Q59" s="578"/>
      <c r="R59" s="578"/>
      <c r="S59" s="578"/>
      <c r="T59" s="578"/>
      <c r="U59" s="578"/>
      <c r="V59" s="578">
        <f t="shared" si="30"/>
        <v>1822925.8320000002</v>
      </c>
    </row>
    <row r="60" spans="1:22">
      <c r="A60" s="572"/>
      <c r="B60" s="573"/>
      <c r="C60" s="574"/>
      <c r="D60" s="574"/>
      <c r="E60" s="575"/>
      <c r="F60" s="580">
        <v>46357</v>
      </c>
      <c r="G60" s="576"/>
      <c r="H60" s="577"/>
      <c r="I60" s="578"/>
      <c r="J60" s="579">
        <v>0.1</v>
      </c>
      <c r="K60" s="578">
        <f t="shared" si="31"/>
        <v>911462.91600000008</v>
      </c>
      <c r="L60" s="578"/>
      <c r="M60" s="578"/>
      <c r="N60" s="578"/>
      <c r="O60" s="578"/>
      <c r="P60" s="578"/>
      <c r="Q60" s="578">
        <f>K60</f>
        <v>911462.91600000008</v>
      </c>
      <c r="R60" s="578"/>
      <c r="S60" s="578"/>
      <c r="T60" s="578"/>
      <c r="U60" s="578"/>
      <c r="V60" s="578">
        <f t="shared" si="30"/>
        <v>911462.91600000008</v>
      </c>
    </row>
    <row r="61" spans="1:22">
      <c r="A61" s="572"/>
      <c r="B61" s="573"/>
      <c r="C61" s="574"/>
      <c r="D61" s="574"/>
      <c r="E61" s="575"/>
      <c r="F61" s="580">
        <v>46023</v>
      </c>
      <c r="G61" s="576"/>
      <c r="H61" s="577"/>
      <c r="I61" s="578"/>
      <c r="J61" s="579">
        <v>0.1</v>
      </c>
      <c r="K61" s="578">
        <f t="shared" si="31"/>
        <v>911462.91600000008</v>
      </c>
      <c r="L61" s="578"/>
      <c r="M61" s="578"/>
      <c r="N61" s="578"/>
      <c r="O61" s="578"/>
      <c r="P61" s="578"/>
      <c r="Q61" s="578"/>
      <c r="R61" s="578">
        <f>K61</f>
        <v>911462.91600000008</v>
      </c>
      <c r="S61" s="578"/>
      <c r="T61" s="578"/>
      <c r="U61" s="578"/>
      <c r="V61" s="578">
        <f t="shared" si="30"/>
        <v>911462.91600000008</v>
      </c>
    </row>
    <row r="62" spans="1:22">
      <c r="A62" s="572"/>
      <c r="B62" s="573"/>
      <c r="C62" s="574"/>
      <c r="D62" s="574"/>
      <c r="E62" s="575"/>
      <c r="F62" s="580">
        <v>46054</v>
      </c>
      <c r="G62" s="576"/>
      <c r="H62" s="577"/>
      <c r="I62" s="578">
        <f t="shared" si="28"/>
        <v>0</v>
      </c>
      <c r="J62" s="579">
        <v>0.1</v>
      </c>
      <c r="K62" s="578">
        <f t="shared" si="31"/>
        <v>911462.91600000008</v>
      </c>
      <c r="L62" s="578"/>
      <c r="M62" s="578"/>
      <c r="N62" s="578"/>
      <c r="O62" s="578"/>
      <c r="P62" s="578"/>
      <c r="Q62" s="578"/>
      <c r="R62" s="578"/>
      <c r="S62" s="578">
        <f>K62</f>
        <v>911462.91600000008</v>
      </c>
      <c r="T62" s="578"/>
      <c r="U62" s="578"/>
      <c r="V62" s="578">
        <f t="shared" si="30"/>
        <v>911462.91600000008</v>
      </c>
    </row>
    <row r="63" spans="1:22">
      <c r="A63" s="558" t="s">
        <v>231</v>
      </c>
      <c r="B63" s="558" t="s">
        <v>232</v>
      </c>
      <c r="C63" s="559">
        <f>1194890.47</f>
        <v>1194890.47</v>
      </c>
      <c r="D63" s="560">
        <f>C63*26</f>
        <v>31067152.219999999</v>
      </c>
      <c r="E63" s="561"/>
      <c r="F63" s="561"/>
      <c r="G63" s="562">
        <f>SUM(G64:G77)</f>
        <v>26</v>
      </c>
      <c r="H63" s="563">
        <f>G63/26</f>
        <v>1</v>
      </c>
      <c r="I63" s="560">
        <f>SUM(I64:I77)</f>
        <v>31067152.219999999</v>
      </c>
      <c r="J63" s="561"/>
      <c r="K63" s="560">
        <f>SUM(K64:K77)</f>
        <v>31067152.220000003</v>
      </c>
      <c r="L63" s="560">
        <f t="shared" ref="L63:U63" si="32">SUM(L64:L77)</f>
        <v>1553357.611</v>
      </c>
      <c r="M63" s="560">
        <f t="shared" si="32"/>
        <v>4660072.8330000006</v>
      </c>
      <c r="N63" s="560">
        <f t="shared" si="32"/>
        <v>6213430.4440000001</v>
      </c>
      <c r="O63" s="560">
        <f t="shared" si="32"/>
        <v>6213430.4440000001</v>
      </c>
      <c r="P63" s="560">
        <f t="shared" si="32"/>
        <v>4660072.8330000006</v>
      </c>
      <c r="Q63" s="560">
        <f t="shared" si="32"/>
        <v>3106715.2220000001</v>
      </c>
      <c r="R63" s="560">
        <f t="shared" si="32"/>
        <v>3106715.2220000001</v>
      </c>
      <c r="S63" s="560">
        <f t="shared" si="32"/>
        <v>1553357.611</v>
      </c>
      <c r="T63" s="560">
        <f t="shared" si="32"/>
        <v>0</v>
      </c>
      <c r="U63" s="560">
        <f t="shared" si="32"/>
        <v>0</v>
      </c>
      <c r="V63" s="560">
        <f>SUM(L63:U63)</f>
        <v>31067152.220000003</v>
      </c>
    </row>
    <row r="64" spans="1:22">
      <c r="A64" s="572" t="s">
        <v>213</v>
      </c>
      <c r="B64" s="573"/>
      <c r="C64" s="574"/>
      <c r="D64" s="574"/>
      <c r="E64" s="575">
        <v>1</v>
      </c>
      <c r="F64" s="576" t="s">
        <v>201</v>
      </c>
      <c r="G64" s="576">
        <v>13</v>
      </c>
      <c r="H64" s="577">
        <f>G64/26</f>
        <v>0.5</v>
      </c>
      <c r="I64" s="578">
        <f t="shared" ref="I64:I71" si="33">G64*$C$63</f>
        <v>15533576.109999999</v>
      </c>
      <c r="J64" s="579">
        <v>0.1</v>
      </c>
      <c r="K64" s="578">
        <f>$I$64*J64</f>
        <v>1553357.611</v>
      </c>
      <c r="L64" s="578">
        <f>K64</f>
        <v>1553357.611</v>
      </c>
      <c r="M64" s="578"/>
      <c r="N64" s="578"/>
      <c r="O64" s="578"/>
      <c r="P64" s="578"/>
      <c r="Q64" s="578"/>
      <c r="R64" s="578"/>
      <c r="S64" s="578"/>
      <c r="T64" s="578"/>
      <c r="U64" s="578"/>
      <c r="V64" s="578">
        <f>SUM(L64:T64)</f>
        <v>1553357.611</v>
      </c>
    </row>
    <row r="65" spans="1:22">
      <c r="A65" s="572"/>
      <c r="B65" s="573"/>
      <c r="C65" s="574"/>
      <c r="D65" s="574"/>
      <c r="E65" s="575"/>
      <c r="F65" s="580">
        <v>46235</v>
      </c>
      <c r="G65" s="576"/>
      <c r="H65" s="577"/>
      <c r="I65" s="578"/>
      <c r="J65" s="579">
        <v>0.2</v>
      </c>
      <c r="K65" s="578">
        <f t="shared" ref="K65:K70" si="34">$I$64*J65</f>
        <v>3106715.2220000001</v>
      </c>
      <c r="L65" s="578"/>
      <c r="M65" s="578">
        <f>K65</f>
        <v>3106715.2220000001</v>
      </c>
      <c r="N65" s="578"/>
      <c r="O65" s="578"/>
      <c r="P65" s="578"/>
      <c r="Q65" s="578"/>
      <c r="R65" s="578"/>
      <c r="S65" s="578"/>
      <c r="T65" s="578"/>
      <c r="U65" s="578"/>
      <c r="V65" s="578">
        <f t="shared" ref="V65:V77" si="35">SUM(L65:T65)</f>
        <v>3106715.2220000001</v>
      </c>
    </row>
    <row r="66" spans="1:22">
      <c r="A66" s="572"/>
      <c r="B66" s="573"/>
      <c r="C66" s="574"/>
      <c r="D66" s="574"/>
      <c r="E66" s="575"/>
      <c r="F66" s="580">
        <v>46266</v>
      </c>
      <c r="G66" s="576"/>
      <c r="H66" s="577"/>
      <c r="I66" s="578"/>
      <c r="J66" s="579">
        <v>0.2</v>
      </c>
      <c r="K66" s="578">
        <f t="shared" si="34"/>
        <v>3106715.2220000001</v>
      </c>
      <c r="L66" s="578"/>
      <c r="M66" s="578"/>
      <c r="N66" s="578">
        <f>K66</f>
        <v>3106715.2220000001</v>
      </c>
      <c r="O66" s="578"/>
      <c r="P66" s="578"/>
      <c r="Q66" s="578"/>
      <c r="R66" s="578"/>
      <c r="S66" s="578"/>
      <c r="T66" s="578"/>
      <c r="U66" s="578"/>
      <c r="V66" s="578">
        <f t="shared" si="35"/>
        <v>3106715.2220000001</v>
      </c>
    </row>
    <row r="67" spans="1:22">
      <c r="A67" s="572"/>
      <c r="B67" s="573"/>
      <c r="C67" s="574"/>
      <c r="D67" s="574"/>
      <c r="E67" s="575"/>
      <c r="F67" s="580">
        <v>46296</v>
      </c>
      <c r="G67" s="576"/>
      <c r="H67" s="577"/>
      <c r="I67" s="578"/>
      <c r="J67" s="579">
        <v>0.2</v>
      </c>
      <c r="K67" s="578">
        <f t="shared" si="34"/>
        <v>3106715.2220000001</v>
      </c>
      <c r="L67" s="578"/>
      <c r="M67" s="578"/>
      <c r="N67" s="578"/>
      <c r="O67" s="578">
        <f>K67</f>
        <v>3106715.2220000001</v>
      </c>
      <c r="P67" s="578"/>
      <c r="Q67" s="578"/>
      <c r="R67" s="578"/>
      <c r="S67" s="578"/>
      <c r="T67" s="578"/>
      <c r="U67" s="578"/>
      <c r="V67" s="578">
        <f t="shared" si="35"/>
        <v>3106715.2220000001</v>
      </c>
    </row>
    <row r="68" spans="1:22">
      <c r="A68" s="572"/>
      <c r="B68" s="573"/>
      <c r="C68" s="574"/>
      <c r="D68" s="574"/>
      <c r="E68" s="575"/>
      <c r="F68" s="580">
        <v>46327</v>
      </c>
      <c r="G68" s="576"/>
      <c r="H68" s="577"/>
      <c r="I68" s="578"/>
      <c r="J68" s="579">
        <v>0.1</v>
      </c>
      <c r="K68" s="578">
        <f t="shared" si="34"/>
        <v>1553357.611</v>
      </c>
      <c r="L68" s="578"/>
      <c r="M68" s="578"/>
      <c r="N68" s="578"/>
      <c r="O68" s="578"/>
      <c r="P68" s="578">
        <f>K68</f>
        <v>1553357.611</v>
      </c>
      <c r="Q68" s="578"/>
      <c r="R68" s="578"/>
      <c r="S68" s="578"/>
      <c r="T68" s="578"/>
      <c r="U68" s="578"/>
      <c r="V68" s="578">
        <f t="shared" si="35"/>
        <v>1553357.611</v>
      </c>
    </row>
    <row r="69" spans="1:22">
      <c r="A69" s="572"/>
      <c r="B69" s="573"/>
      <c r="C69" s="574"/>
      <c r="D69" s="574"/>
      <c r="E69" s="575"/>
      <c r="F69" s="580">
        <v>46357</v>
      </c>
      <c r="G69" s="576"/>
      <c r="H69" s="577"/>
      <c r="I69" s="578"/>
      <c r="J69" s="579">
        <v>0.1</v>
      </c>
      <c r="K69" s="578">
        <f t="shared" si="34"/>
        <v>1553357.611</v>
      </c>
      <c r="L69" s="578"/>
      <c r="M69" s="578"/>
      <c r="N69" s="578"/>
      <c r="O69" s="578"/>
      <c r="P69" s="578"/>
      <c r="Q69" s="578">
        <f>K69</f>
        <v>1553357.611</v>
      </c>
      <c r="R69" s="578"/>
      <c r="S69" s="578"/>
      <c r="T69" s="578"/>
      <c r="U69" s="578"/>
      <c r="V69" s="578">
        <f t="shared" si="35"/>
        <v>1553357.611</v>
      </c>
    </row>
    <row r="70" spans="1:22">
      <c r="A70" s="572"/>
      <c r="B70" s="573"/>
      <c r="C70" s="574"/>
      <c r="D70" s="574"/>
      <c r="E70" s="575"/>
      <c r="F70" s="580">
        <v>46388</v>
      </c>
      <c r="G70" s="576"/>
      <c r="H70" s="577"/>
      <c r="I70" s="578"/>
      <c r="J70" s="579">
        <v>0.1</v>
      </c>
      <c r="K70" s="578">
        <f t="shared" si="34"/>
        <v>1553357.611</v>
      </c>
      <c r="L70" s="578"/>
      <c r="M70" s="578"/>
      <c r="N70" s="578"/>
      <c r="O70" s="578"/>
      <c r="P70" s="578"/>
      <c r="Q70" s="578"/>
      <c r="R70" s="578">
        <f>K70</f>
        <v>1553357.611</v>
      </c>
      <c r="S70" s="578"/>
      <c r="T70" s="578"/>
      <c r="U70" s="578"/>
      <c r="V70" s="578">
        <f t="shared" si="35"/>
        <v>1553357.611</v>
      </c>
    </row>
    <row r="71" spans="1:22">
      <c r="A71" s="572" t="s">
        <v>214</v>
      </c>
      <c r="B71" s="573"/>
      <c r="C71" s="574"/>
      <c r="D71" s="574"/>
      <c r="E71" s="575">
        <v>2</v>
      </c>
      <c r="F71" s="580">
        <v>46235</v>
      </c>
      <c r="G71" s="576">
        <v>13</v>
      </c>
      <c r="H71" s="577">
        <f>G71/26</f>
        <v>0.5</v>
      </c>
      <c r="I71" s="578">
        <f t="shared" si="33"/>
        <v>15533576.109999999</v>
      </c>
      <c r="J71" s="579">
        <v>0.1</v>
      </c>
      <c r="K71" s="578">
        <f>$I$71*J71</f>
        <v>1553357.611</v>
      </c>
      <c r="L71" s="578"/>
      <c r="M71" s="578">
        <f>K71</f>
        <v>1553357.611</v>
      </c>
      <c r="N71" s="578"/>
      <c r="O71" s="578"/>
      <c r="P71" s="578"/>
      <c r="Q71" s="578"/>
      <c r="R71" s="578"/>
      <c r="S71" s="578"/>
      <c r="T71" s="578"/>
      <c r="U71" s="578"/>
      <c r="V71" s="578">
        <f t="shared" si="35"/>
        <v>1553357.611</v>
      </c>
    </row>
    <row r="72" spans="1:22">
      <c r="A72" s="572"/>
      <c r="B72" s="573"/>
      <c r="C72" s="574"/>
      <c r="D72" s="574"/>
      <c r="E72" s="575"/>
      <c r="F72" s="580">
        <v>46266</v>
      </c>
      <c r="G72" s="576"/>
      <c r="H72" s="577"/>
      <c r="I72" s="578"/>
      <c r="J72" s="579">
        <v>0.2</v>
      </c>
      <c r="K72" s="578">
        <f t="shared" ref="K72:K77" si="36">$I$71*J72</f>
        <v>3106715.2220000001</v>
      </c>
      <c r="L72" s="578"/>
      <c r="M72" s="578"/>
      <c r="N72" s="578">
        <f>K72</f>
        <v>3106715.2220000001</v>
      </c>
      <c r="O72" s="578"/>
      <c r="P72" s="578"/>
      <c r="Q72" s="578"/>
      <c r="R72" s="578"/>
      <c r="S72" s="578"/>
      <c r="T72" s="578"/>
      <c r="U72" s="578"/>
      <c r="V72" s="578">
        <f t="shared" si="35"/>
        <v>3106715.2220000001</v>
      </c>
    </row>
    <row r="73" spans="1:22">
      <c r="A73" s="572"/>
      <c r="B73" s="573"/>
      <c r="C73" s="574"/>
      <c r="D73" s="574"/>
      <c r="E73" s="575"/>
      <c r="F73" s="580">
        <v>46296</v>
      </c>
      <c r="G73" s="576"/>
      <c r="H73" s="577"/>
      <c r="I73" s="578"/>
      <c r="J73" s="579">
        <v>0.2</v>
      </c>
      <c r="K73" s="578">
        <f t="shared" si="36"/>
        <v>3106715.2220000001</v>
      </c>
      <c r="L73" s="578"/>
      <c r="M73" s="578"/>
      <c r="N73" s="578"/>
      <c r="O73" s="578">
        <f>K73</f>
        <v>3106715.2220000001</v>
      </c>
      <c r="P73" s="578"/>
      <c r="Q73" s="578"/>
      <c r="R73" s="578"/>
      <c r="S73" s="578"/>
      <c r="T73" s="578"/>
      <c r="U73" s="578"/>
      <c r="V73" s="578">
        <f t="shared" si="35"/>
        <v>3106715.2220000001</v>
      </c>
    </row>
    <row r="74" spans="1:22">
      <c r="A74" s="572"/>
      <c r="B74" s="573"/>
      <c r="C74" s="574"/>
      <c r="D74" s="574"/>
      <c r="E74" s="575"/>
      <c r="F74" s="580">
        <v>46327</v>
      </c>
      <c r="G74" s="576"/>
      <c r="H74" s="577"/>
      <c r="I74" s="578"/>
      <c r="J74" s="579">
        <v>0.2</v>
      </c>
      <c r="K74" s="578">
        <f t="shared" si="36"/>
        <v>3106715.2220000001</v>
      </c>
      <c r="L74" s="578"/>
      <c r="M74" s="578"/>
      <c r="N74" s="578"/>
      <c r="O74" s="578"/>
      <c r="P74" s="578">
        <f>K74</f>
        <v>3106715.2220000001</v>
      </c>
      <c r="Q74" s="578"/>
      <c r="R74" s="578"/>
      <c r="S74" s="578"/>
      <c r="T74" s="578"/>
      <c r="U74" s="578"/>
      <c r="V74" s="578">
        <f t="shared" si="35"/>
        <v>3106715.2220000001</v>
      </c>
    </row>
    <row r="75" spans="1:22">
      <c r="A75" s="572"/>
      <c r="B75" s="573"/>
      <c r="C75" s="574"/>
      <c r="D75" s="574"/>
      <c r="E75" s="575"/>
      <c r="F75" s="580">
        <v>46357</v>
      </c>
      <c r="G75" s="576"/>
      <c r="H75" s="577"/>
      <c r="I75" s="578"/>
      <c r="J75" s="579">
        <v>0.1</v>
      </c>
      <c r="K75" s="578">
        <f t="shared" si="36"/>
        <v>1553357.611</v>
      </c>
      <c r="L75" s="578"/>
      <c r="M75" s="578"/>
      <c r="N75" s="578"/>
      <c r="O75" s="578"/>
      <c r="P75" s="578"/>
      <c r="Q75" s="578">
        <f>K75</f>
        <v>1553357.611</v>
      </c>
      <c r="R75" s="578"/>
      <c r="S75" s="578"/>
      <c r="T75" s="578"/>
      <c r="U75" s="578"/>
      <c r="V75" s="578">
        <f t="shared" si="35"/>
        <v>1553357.611</v>
      </c>
    </row>
    <row r="76" spans="1:22">
      <c r="A76" s="572"/>
      <c r="B76" s="573"/>
      <c r="C76" s="574"/>
      <c r="D76" s="574"/>
      <c r="E76" s="575"/>
      <c r="F76" s="580">
        <v>46388</v>
      </c>
      <c r="G76" s="576"/>
      <c r="H76" s="577"/>
      <c r="I76" s="578"/>
      <c r="J76" s="579">
        <v>0.1</v>
      </c>
      <c r="K76" s="578">
        <f t="shared" si="36"/>
        <v>1553357.611</v>
      </c>
      <c r="L76" s="578"/>
      <c r="M76" s="578"/>
      <c r="N76" s="578"/>
      <c r="O76" s="578"/>
      <c r="P76" s="578"/>
      <c r="Q76" s="578"/>
      <c r="R76" s="578">
        <f>K76</f>
        <v>1553357.611</v>
      </c>
      <c r="S76" s="578"/>
      <c r="T76" s="578"/>
      <c r="U76" s="578"/>
      <c r="V76" s="578">
        <f t="shared" si="35"/>
        <v>1553357.611</v>
      </c>
    </row>
    <row r="77" spans="1:22">
      <c r="A77" s="572"/>
      <c r="B77" s="573"/>
      <c r="C77" s="574"/>
      <c r="D77" s="574"/>
      <c r="E77" s="575"/>
      <c r="F77" s="580">
        <v>46419</v>
      </c>
      <c r="G77" s="576"/>
      <c r="H77" s="577"/>
      <c r="I77" s="578"/>
      <c r="J77" s="579">
        <v>0.1</v>
      </c>
      <c r="K77" s="578">
        <f t="shared" si="36"/>
        <v>1553357.611</v>
      </c>
      <c r="L77" s="578"/>
      <c r="M77" s="578"/>
      <c r="N77" s="578"/>
      <c r="O77" s="578"/>
      <c r="P77" s="578"/>
      <c r="Q77" s="578"/>
      <c r="R77" s="578"/>
      <c r="S77" s="578">
        <f>K77</f>
        <v>1553357.611</v>
      </c>
      <c r="T77" s="578"/>
      <c r="U77" s="578"/>
      <c r="V77" s="578">
        <f t="shared" si="35"/>
        <v>1553357.611</v>
      </c>
    </row>
    <row r="78" spans="1:22" ht="25.5">
      <c r="A78" s="558" t="s">
        <v>233</v>
      </c>
      <c r="B78" s="558" t="s">
        <v>234</v>
      </c>
      <c r="C78" s="559">
        <v>499000</v>
      </c>
      <c r="D78" s="560">
        <f>C78*26</f>
        <v>12974000</v>
      </c>
      <c r="E78" s="561"/>
      <c r="F78" s="561"/>
      <c r="G78" s="562">
        <f>SUM(G79:G84)</f>
        <v>26</v>
      </c>
      <c r="H78" s="563">
        <f>G78/26</f>
        <v>1</v>
      </c>
      <c r="I78" s="560">
        <f>SUM(I79:I84)</f>
        <v>12974000</v>
      </c>
      <c r="J78" s="561"/>
      <c r="K78" s="560">
        <f t="shared" ref="K78:U78" si="37">SUM(K79:K84)</f>
        <v>12974000</v>
      </c>
      <c r="L78" s="560">
        <f t="shared" si="37"/>
        <v>2594800</v>
      </c>
      <c r="M78" s="560">
        <f t="shared" si="37"/>
        <v>0</v>
      </c>
      <c r="N78" s="560">
        <f t="shared" si="37"/>
        <v>0</v>
      </c>
      <c r="O78" s="560">
        <f t="shared" si="37"/>
        <v>6487000</v>
      </c>
      <c r="P78" s="560">
        <f t="shared" si="37"/>
        <v>1297400</v>
      </c>
      <c r="Q78" s="560">
        <f t="shared" si="37"/>
        <v>648700</v>
      </c>
      <c r="R78" s="560">
        <f t="shared" si="37"/>
        <v>648700</v>
      </c>
      <c r="S78" s="560">
        <f t="shared" si="37"/>
        <v>1297400</v>
      </c>
      <c r="T78" s="560">
        <f t="shared" si="37"/>
        <v>0</v>
      </c>
      <c r="U78" s="560">
        <f t="shared" si="37"/>
        <v>0</v>
      </c>
      <c r="V78" s="560">
        <f>SUM(L78:U78)</f>
        <v>12974000</v>
      </c>
    </row>
    <row r="79" spans="1:22">
      <c r="A79" s="572" t="s">
        <v>213</v>
      </c>
      <c r="B79" s="573"/>
      <c r="C79" s="574"/>
      <c r="D79" s="574"/>
      <c r="E79" s="575">
        <v>1</v>
      </c>
      <c r="F79" s="576" t="s">
        <v>201</v>
      </c>
      <c r="G79" s="576">
        <v>26</v>
      </c>
      <c r="H79" s="577">
        <f>G79/26</f>
        <v>1</v>
      </c>
      <c r="I79" s="578">
        <f t="shared" ref="I79:I81" si="38">G79*$C$78</f>
        <v>12974000</v>
      </c>
      <c r="J79" s="579">
        <v>0.2</v>
      </c>
      <c r="K79" s="578">
        <f>$I$79*J79</f>
        <v>2594800</v>
      </c>
      <c r="L79" s="578">
        <f>K79</f>
        <v>2594800</v>
      </c>
      <c r="M79" s="578"/>
      <c r="N79" s="578"/>
      <c r="O79" s="578"/>
      <c r="P79" s="578"/>
      <c r="Q79" s="578"/>
      <c r="R79" s="578"/>
      <c r="S79" s="578"/>
      <c r="T79" s="578"/>
      <c r="U79" s="578"/>
      <c r="V79" s="578">
        <f>SUM(L79:T79)</f>
        <v>2594800</v>
      </c>
    </row>
    <row r="80" spans="1:22">
      <c r="A80" s="572"/>
      <c r="B80" s="573"/>
      <c r="C80" s="574"/>
      <c r="D80" s="574"/>
      <c r="E80" s="575"/>
      <c r="F80" s="580">
        <v>46296</v>
      </c>
      <c r="G80" s="576"/>
      <c r="H80" s="577"/>
      <c r="I80" s="578">
        <f t="shared" si="38"/>
        <v>0</v>
      </c>
      <c r="J80" s="579">
        <v>0.5</v>
      </c>
      <c r="K80" s="578">
        <f t="shared" ref="K80:K84" si="39">$I$79*J80</f>
        <v>6487000</v>
      </c>
      <c r="L80" s="578"/>
      <c r="M80" s="578"/>
      <c r="N80" s="578"/>
      <c r="O80" s="578">
        <f>K80</f>
        <v>6487000</v>
      </c>
      <c r="P80" s="578"/>
      <c r="Q80" s="578"/>
      <c r="R80" s="578"/>
      <c r="S80" s="578"/>
      <c r="T80" s="578"/>
      <c r="U80" s="578"/>
      <c r="V80" s="578">
        <f t="shared" ref="V80:V83" si="40">SUM(L80:T80)</f>
        <v>6487000</v>
      </c>
    </row>
    <row r="81" spans="1:22">
      <c r="A81" s="572"/>
      <c r="B81" s="573"/>
      <c r="C81" s="574"/>
      <c r="D81" s="574"/>
      <c r="E81" s="575"/>
      <c r="F81" s="580">
        <v>46327</v>
      </c>
      <c r="G81" s="576"/>
      <c r="H81" s="577"/>
      <c r="I81" s="578">
        <f t="shared" si="38"/>
        <v>0</v>
      </c>
      <c r="J81" s="579">
        <v>0.1</v>
      </c>
      <c r="K81" s="578">
        <f t="shared" si="39"/>
        <v>1297400</v>
      </c>
      <c r="L81" s="578"/>
      <c r="M81" s="578"/>
      <c r="N81" s="578"/>
      <c r="O81" s="578"/>
      <c r="P81" s="578">
        <f>K81</f>
        <v>1297400</v>
      </c>
      <c r="Q81" s="578"/>
      <c r="R81" s="578"/>
      <c r="S81" s="578"/>
      <c r="T81" s="578"/>
      <c r="U81" s="578"/>
      <c r="V81" s="578">
        <f t="shared" si="40"/>
        <v>1297400</v>
      </c>
    </row>
    <row r="82" spans="1:22">
      <c r="A82" s="572"/>
      <c r="B82" s="573"/>
      <c r="C82" s="574"/>
      <c r="D82" s="574"/>
      <c r="E82" s="575"/>
      <c r="F82" s="580">
        <v>46357</v>
      </c>
      <c r="G82" s="576"/>
      <c r="H82" s="577"/>
      <c r="I82" s="578"/>
      <c r="J82" s="579">
        <v>0.05</v>
      </c>
      <c r="K82" s="578">
        <f t="shared" si="39"/>
        <v>648700</v>
      </c>
      <c r="L82" s="578"/>
      <c r="M82" s="578"/>
      <c r="N82" s="578"/>
      <c r="O82" s="578"/>
      <c r="P82" s="578"/>
      <c r="Q82" s="578">
        <f>K82</f>
        <v>648700</v>
      </c>
      <c r="R82" s="578"/>
      <c r="S82" s="578"/>
      <c r="T82" s="578"/>
      <c r="U82" s="578"/>
      <c r="V82" s="578">
        <f t="shared" si="40"/>
        <v>648700</v>
      </c>
    </row>
    <row r="83" spans="1:22">
      <c r="A83" s="572"/>
      <c r="B83" s="573"/>
      <c r="C83" s="574"/>
      <c r="D83" s="574"/>
      <c r="E83" s="575"/>
      <c r="F83" s="580">
        <v>46388</v>
      </c>
      <c r="G83" s="576"/>
      <c r="H83" s="577"/>
      <c r="I83" s="578"/>
      <c r="J83" s="579">
        <v>0.05</v>
      </c>
      <c r="K83" s="578">
        <f t="shared" si="39"/>
        <v>648700</v>
      </c>
      <c r="L83" s="578"/>
      <c r="M83" s="578"/>
      <c r="N83" s="578"/>
      <c r="O83" s="578"/>
      <c r="P83" s="578"/>
      <c r="Q83" s="578"/>
      <c r="R83" s="578">
        <f>K83</f>
        <v>648700</v>
      </c>
      <c r="S83" s="578"/>
      <c r="T83" s="578"/>
      <c r="U83" s="578"/>
      <c r="V83" s="578">
        <f t="shared" si="40"/>
        <v>648700</v>
      </c>
    </row>
    <row r="84" spans="1:22">
      <c r="A84" s="572"/>
      <c r="B84" s="573"/>
      <c r="C84" s="574"/>
      <c r="D84" s="574"/>
      <c r="E84" s="575"/>
      <c r="F84" s="580">
        <v>46419</v>
      </c>
      <c r="G84" s="576"/>
      <c r="H84" s="577"/>
      <c r="I84" s="578"/>
      <c r="J84" s="579">
        <v>0.1</v>
      </c>
      <c r="K84" s="578">
        <f t="shared" si="39"/>
        <v>1297400</v>
      </c>
      <c r="L84" s="578"/>
      <c r="M84" s="578"/>
      <c r="N84" s="578"/>
      <c r="O84" s="578"/>
      <c r="P84" s="578"/>
      <c r="Q84" s="578"/>
      <c r="R84" s="578"/>
      <c r="S84" s="578">
        <f>K84</f>
        <v>1297400</v>
      </c>
      <c r="T84" s="578"/>
      <c r="U84" s="578"/>
      <c r="V84" s="578"/>
    </row>
    <row r="85" spans="1:22">
      <c r="A85" s="558" t="s">
        <v>235</v>
      </c>
      <c r="B85" s="558" t="s">
        <v>79</v>
      </c>
      <c r="C85" s="559">
        <v>1117728.8600000001</v>
      </c>
      <c r="D85" s="560">
        <f>C85*26</f>
        <v>29060950.360000003</v>
      </c>
      <c r="E85" s="561"/>
      <c r="F85" s="561"/>
      <c r="G85" s="562">
        <f>SUM(G86:G94)</f>
        <v>26</v>
      </c>
      <c r="H85" s="563">
        <f>G85/26</f>
        <v>1</v>
      </c>
      <c r="I85" s="560">
        <f>SUM(I86:I94)</f>
        <v>29060950.359999999</v>
      </c>
      <c r="J85" s="561"/>
      <c r="K85" s="560">
        <f>SUM(K86:K94)</f>
        <v>29060950.360000007</v>
      </c>
      <c r="L85" s="560">
        <f t="shared" ref="L85:U85" si="41">SUM(L86:L94)</f>
        <v>2682549.264</v>
      </c>
      <c r="M85" s="560">
        <f t="shared" si="41"/>
        <v>9612468.1960000005</v>
      </c>
      <c r="N85" s="560">
        <f t="shared" si="41"/>
        <v>5499225.9912</v>
      </c>
      <c r="O85" s="560">
        <f t="shared" si="41"/>
        <v>2816676.7272000005</v>
      </c>
      <c r="P85" s="560">
        <f t="shared" si="41"/>
        <v>2816676.7272000005</v>
      </c>
      <c r="Q85" s="560">
        <f t="shared" si="41"/>
        <v>2816676.7272000005</v>
      </c>
      <c r="R85" s="560">
        <f t="shared" si="41"/>
        <v>2816676.7272000005</v>
      </c>
      <c r="S85" s="560">
        <f t="shared" si="41"/>
        <v>0</v>
      </c>
      <c r="T85" s="560">
        <f t="shared" si="41"/>
        <v>0</v>
      </c>
      <c r="U85" s="560">
        <f t="shared" si="41"/>
        <v>0</v>
      </c>
      <c r="V85" s="560">
        <f>SUM(L85:U85)</f>
        <v>29060950.360000007</v>
      </c>
    </row>
    <row r="86" spans="1:22">
      <c r="A86" s="572" t="s">
        <v>213</v>
      </c>
      <c r="B86" s="573"/>
      <c r="C86" s="574"/>
      <c r="D86" s="574"/>
      <c r="E86" s="575">
        <v>1</v>
      </c>
      <c r="F86" s="576" t="s">
        <v>201</v>
      </c>
      <c r="G86" s="576">
        <v>8</v>
      </c>
      <c r="H86" s="577">
        <f>G86/26</f>
        <v>0.30769230769230771</v>
      </c>
      <c r="I86" s="578">
        <f t="shared" ref="I86:I94" si="42">G86*$C$85</f>
        <v>8941830.8800000008</v>
      </c>
      <c r="J86" s="579">
        <v>0.3</v>
      </c>
      <c r="K86" s="578">
        <f>$I$86*J86</f>
        <v>2682549.264</v>
      </c>
      <c r="L86" s="581">
        <f>K86</f>
        <v>2682549.264</v>
      </c>
      <c r="M86" s="578"/>
      <c r="N86" s="578"/>
      <c r="O86" s="578"/>
      <c r="P86" s="578"/>
      <c r="Q86" s="578"/>
      <c r="R86" s="578"/>
      <c r="S86" s="578"/>
      <c r="T86" s="578"/>
      <c r="U86" s="578"/>
      <c r="V86" s="581">
        <f>SUM(L86:T86)</f>
        <v>2682549.264</v>
      </c>
    </row>
    <row r="87" spans="1:22">
      <c r="A87" s="572"/>
      <c r="B87" s="573"/>
      <c r="C87" s="574"/>
      <c r="D87" s="574"/>
      <c r="E87" s="575"/>
      <c r="F87" s="576" t="s">
        <v>202</v>
      </c>
      <c r="G87" s="576"/>
      <c r="H87" s="577"/>
      <c r="I87" s="578">
        <f t="shared" si="42"/>
        <v>0</v>
      </c>
      <c r="J87" s="579">
        <v>0.4</v>
      </c>
      <c r="K87" s="578">
        <f t="shared" ref="K87:K88" si="43">$I$86*J87</f>
        <v>3576732.3520000004</v>
      </c>
      <c r="L87" s="578"/>
      <c r="M87" s="578">
        <f>K87</f>
        <v>3576732.3520000004</v>
      </c>
      <c r="N87" s="578"/>
      <c r="O87" s="578"/>
      <c r="P87" s="578"/>
      <c r="Q87" s="578"/>
      <c r="R87" s="578"/>
      <c r="S87" s="578"/>
      <c r="T87" s="578"/>
      <c r="U87" s="578"/>
      <c r="V87" s="578">
        <f>SUM(L87:T87)</f>
        <v>3576732.3520000004</v>
      </c>
    </row>
    <row r="88" spans="1:22">
      <c r="A88" s="572"/>
      <c r="B88" s="573"/>
      <c r="C88" s="574"/>
      <c r="D88" s="574"/>
      <c r="E88" s="575"/>
      <c r="F88" s="576" t="s">
        <v>203</v>
      </c>
      <c r="G88" s="576"/>
      <c r="H88" s="577"/>
      <c r="I88" s="578">
        <f t="shared" si="42"/>
        <v>0</v>
      </c>
      <c r="J88" s="579">
        <v>0.3</v>
      </c>
      <c r="K88" s="578">
        <f t="shared" si="43"/>
        <v>2682549.264</v>
      </c>
      <c r="L88" s="578"/>
      <c r="M88" s="578"/>
      <c r="N88" s="578">
        <f>K88</f>
        <v>2682549.264</v>
      </c>
      <c r="O88" s="578"/>
      <c r="P88" s="578"/>
      <c r="Q88" s="578"/>
      <c r="R88" s="578"/>
      <c r="S88" s="578"/>
      <c r="T88" s="578"/>
      <c r="U88" s="578"/>
      <c r="V88" s="578">
        <f t="shared" ref="V88:V94" si="44">SUM(L88:T88)</f>
        <v>2682549.264</v>
      </c>
    </row>
    <row r="89" spans="1:22">
      <c r="A89" s="572" t="s">
        <v>214</v>
      </c>
      <c r="B89" s="573"/>
      <c r="C89" s="574"/>
      <c r="D89" s="574"/>
      <c r="E89" s="575">
        <v>2</v>
      </c>
      <c r="F89" s="580">
        <v>46235</v>
      </c>
      <c r="G89" s="576">
        <v>18</v>
      </c>
      <c r="H89" s="577">
        <f>G89/26</f>
        <v>0.69230769230769229</v>
      </c>
      <c r="I89" s="578">
        <f t="shared" si="42"/>
        <v>20119119.48</v>
      </c>
      <c r="J89" s="579">
        <v>0.3</v>
      </c>
      <c r="K89" s="578">
        <f>$I$89*J89</f>
        <v>6035735.8439999996</v>
      </c>
      <c r="L89" s="578"/>
      <c r="M89" s="578">
        <f>K89</f>
        <v>6035735.8439999996</v>
      </c>
      <c r="N89" s="578"/>
      <c r="O89" s="578"/>
      <c r="P89" s="578"/>
      <c r="Q89" s="578"/>
      <c r="R89" s="578"/>
      <c r="S89" s="578"/>
      <c r="T89" s="578"/>
      <c r="U89" s="578"/>
      <c r="V89" s="578">
        <f t="shared" si="44"/>
        <v>6035735.8439999996</v>
      </c>
    </row>
    <row r="90" spans="1:22">
      <c r="A90" s="572"/>
      <c r="B90" s="573"/>
      <c r="C90" s="574"/>
      <c r="D90" s="574"/>
      <c r="E90" s="575"/>
      <c r="F90" s="580">
        <v>46266</v>
      </c>
      <c r="G90" s="576"/>
      <c r="H90" s="577"/>
      <c r="I90" s="578"/>
      <c r="J90" s="579">
        <v>0.14000000000000001</v>
      </c>
      <c r="K90" s="578">
        <f t="shared" ref="K90" si="45">$I$89*J90</f>
        <v>2816676.7272000005</v>
      </c>
      <c r="L90" s="578"/>
      <c r="M90" s="578"/>
      <c r="N90" s="578">
        <f>K90</f>
        <v>2816676.7272000005</v>
      </c>
      <c r="O90" s="578"/>
      <c r="P90" s="578"/>
      <c r="Q90" s="578"/>
      <c r="R90" s="578"/>
      <c r="S90" s="578"/>
      <c r="T90" s="578"/>
      <c r="U90" s="578"/>
      <c r="V90" s="578">
        <f t="shared" si="44"/>
        <v>2816676.7272000005</v>
      </c>
    </row>
    <row r="91" spans="1:22">
      <c r="A91" s="572"/>
      <c r="B91" s="573"/>
      <c r="C91" s="574"/>
      <c r="D91" s="574"/>
      <c r="E91" s="575"/>
      <c r="F91" s="580">
        <v>46296</v>
      </c>
      <c r="G91" s="576"/>
      <c r="H91" s="577"/>
      <c r="I91" s="578">
        <f t="shared" si="42"/>
        <v>0</v>
      </c>
      <c r="J91" s="579">
        <v>0.14000000000000001</v>
      </c>
      <c r="K91" s="578">
        <f>$I$89*J91</f>
        <v>2816676.7272000005</v>
      </c>
      <c r="L91" s="578"/>
      <c r="M91" s="578"/>
      <c r="N91" s="578"/>
      <c r="O91" s="578">
        <f>K91</f>
        <v>2816676.7272000005</v>
      </c>
      <c r="P91" s="578"/>
      <c r="Q91" s="578"/>
      <c r="R91" s="578"/>
      <c r="S91" s="578"/>
      <c r="T91" s="578"/>
      <c r="U91" s="578"/>
      <c r="V91" s="578">
        <f t="shared" si="44"/>
        <v>2816676.7272000005</v>
      </c>
    </row>
    <row r="92" spans="1:22">
      <c r="A92" s="572"/>
      <c r="B92" s="573"/>
      <c r="C92" s="574"/>
      <c r="D92" s="574"/>
      <c r="E92" s="575"/>
      <c r="F92" s="580">
        <v>46327</v>
      </c>
      <c r="G92" s="576"/>
      <c r="H92" s="577"/>
      <c r="I92" s="578"/>
      <c r="J92" s="579">
        <v>0.14000000000000001</v>
      </c>
      <c r="K92" s="578">
        <f t="shared" ref="K92:K94" si="46">$I$89*J92</f>
        <v>2816676.7272000005</v>
      </c>
      <c r="L92" s="578"/>
      <c r="M92" s="578"/>
      <c r="N92" s="578"/>
      <c r="O92" s="578"/>
      <c r="P92" s="578">
        <f>K92</f>
        <v>2816676.7272000005</v>
      </c>
      <c r="Q92" s="578"/>
      <c r="R92" s="578"/>
      <c r="S92" s="578"/>
      <c r="T92" s="578"/>
      <c r="U92" s="578"/>
      <c r="V92" s="578">
        <f t="shared" si="44"/>
        <v>2816676.7272000005</v>
      </c>
    </row>
    <row r="93" spans="1:22">
      <c r="A93" s="572"/>
      <c r="B93" s="573"/>
      <c r="C93" s="574"/>
      <c r="D93" s="574"/>
      <c r="E93" s="575"/>
      <c r="F93" s="580">
        <v>46357</v>
      </c>
      <c r="G93" s="576"/>
      <c r="H93" s="577"/>
      <c r="I93" s="578"/>
      <c r="J93" s="579">
        <v>0.14000000000000001</v>
      </c>
      <c r="K93" s="578">
        <f t="shared" si="46"/>
        <v>2816676.7272000005</v>
      </c>
      <c r="L93" s="578"/>
      <c r="M93" s="578"/>
      <c r="N93" s="578"/>
      <c r="O93" s="578"/>
      <c r="P93" s="578"/>
      <c r="Q93" s="578">
        <f>K93</f>
        <v>2816676.7272000005</v>
      </c>
      <c r="R93" s="578"/>
      <c r="S93" s="578"/>
      <c r="T93" s="578"/>
      <c r="U93" s="578"/>
      <c r="V93" s="578">
        <f t="shared" si="44"/>
        <v>2816676.7272000005</v>
      </c>
    </row>
    <row r="94" spans="1:22">
      <c r="A94" s="572"/>
      <c r="B94" s="573"/>
      <c r="C94" s="574"/>
      <c r="D94" s="574"/>
      <c r="E94" s="575"/>
      <c r="F94" s="580">
        <v>46388</v>
      </c>
      <c r="G94" s="576"/>
      <c r="H94" s="577"/>
      <c r="I94" s="578">
        <f t="shared" si="42"/>
        <v>0</v>
      </c>
      <c r="J94" s="579">
        <v>0.14000000000000001</v>
      </c>
      <c r="K94" s="578">
        <f t="shared" si="46"/>
        <v>2816676.7272000005</v>
      </c>
      <c r="L94" s="578"/>
      <c r="M94" s="578"/>
      <c r="N94" s="578"/>
      <c r="O94" s="578"/>
      <c r="P94" s="578"/>
      <c r="Q94" s="578"/>
      <c r="R94" s="578">
        <f>K94</f>
        <v>2816676.7272000005</v>
      </c>
      <c r="S94" s="578"/>
      <c r="T94" s="578"/>
      <c r="U94" s="578"/>
      <c r="V94" s="578">
        <f t="shared" si="44"/>
        <v>2816676.7272000005</v>
      </c>
    </row>
    <row r="95" spans="1:22">
      <c r="A95" s="558" t="s">
        <v>236</v>
      </c>
      <c r="B95" s="558" t="s">
        <v>237</v>
      </c>
      <c r="C95" s="559">
        <f>472873.03</f>
        <v>472873.03</v>
      </c>
      <c r="D95" s="560">
        <f>C95*26</f>
        <v>12294698.780000001</v>
      </c>
      <c r="E95" s="561"/>
      <c r="F95" s="561"/>
      <c r="G95" s="562">
        <f>SUM(G96:G105)</f>
        <v>26</v>
      </c>
      <c r="H95" s="563">
        <f>G95/26</f>
        <v>1</v>
      </c>
      <c r="I95" s="560">
        <f>SUM(I96:I105)</f>
        <v>12294698.780000001</v>
      </c>
      <c r="J95" s="561"/>
      <c r="K95" s="560">
        <f t="shared" ref="K95:S95" si="47">SUM(K96:K105)</f>
        <v>12294698.779999999</v>
      </c>
      <c r="L95" s="560">
        <f t="shared" si="47"/>
        <v>0</v>
      </c>
      <c r="M95" s="560">
        <f t="shared" si="47"/>
        <v>1986066.726</v>
      </c>
      <c r="N95" s="560">
        <f t="shared" si="47"/>
        <v>2837238.18</v>
      </c>
      <c r="O95" s="560">
        <f t="shared" si="47"/>
        <v>2837238.18</v>
      </c>
      <c r="P95" s="560">
        <f t="shared" si="47"/>
        <v>2175215.9380000001</v>
      </c>
      <c r="Q95" s="560">
        <f t="shared" si="47"/>
        <v>1891492.12</v>
      </c>
      <c r="R95" s="560">
        <f t="shared" si="47"/>
        <v>567447.63600000006</v>
      </c>
      <c r="S95" s="560">
        <f t="shared" si="47"/>
        <v>0</v>
      </c>
      <c r="T95" s="560">
        <f>SUM(T96:T105)</f>
        <v>0</v>
      </c>
      <c r="U95" s="560">
        <f>SUM(U96:U105)</f>
        <v>0</v>
      </c>
      <c r="V95" s="560">
        <f>SUM(L95:U95)</f>
        <v>12294698.780000001</v>
      </c>
    </row>
    <row r="96" spans="1:22">
      <c r="A96" s="572" t="s">
        <v>213</v>
      </c>
      <c r="B96" s="573"/>
      <c r="C96" s="574"/>
      <c r="D96" s="574"/>
      <c r="E96" s="575">
        <v>1</v>
      </c>
      <c r="F96" s="580">
        <v>46235</v>
      </c>
      <c r="G96" s="576">
        <v>6</v>
      </c>
      <c r="H96" s="577">
        <f>G96/26</f>
        <v>0.23076923076923078</v>
      </c>
      <c r="I96" s="578">
        <f>G96*$C$95</f>
        <v>2837238.18</v>
      </c>
      <c r="J96" s="579">
        <v>0.7</v>
      </c>
      <c r="K96" s="578">
        <f t="shared" ref="K96" si="48">I96*J96</f>
        <v>1986066.726</v>
      </c>
      <c r="L96" s="578"/>
      <c r="M96" s="578">
        <f>K96</f>
        <v>1986066.726</v>
      </c>
      <c r="N96" s="578"/>
      <c r="O96" s="578"/>
      <c r="P96" s="578"/>
      <c r="Q96" s="578"/>
      <c r="R96" s="578"/>
      <c r="S96" s="578"/>
      <c r="T96" s="578"/>
      <c r="U96" s="578"/>
      <c r="V96" s="578">
        <f>SUM(L96:T96)</f>
        <v>1986066.726</v>
      </c>
    </row>
    <row r="97" spans="1:22">
      <c r="A97" s="572"/>
      <c r="B97" s="582"/>
      <c r="C97" s="574"/>
      <c r="D97" s="574"/>
      <c r="E97" s="575"/>
      <c r="F97" s="580">
        <v>46266</v>
      </c>
      <c r="G97" s="576"/>
      <c r="H97" s="577"/>
      <c r="I97" s="578"/>
      <c r="J97" s="579">
        <v>0.3</v>
      </c>
      <c r="K97" s="578">
        <f>J97*I96</f>
        <v>851171.45400000003</v>
      </c>
      <c r="L97" s="578"/>
      <c r="M97" s="578"/>
      <c r="N97" s="578">
        <f>K97</f>
        <v>851171.45400000003</v>
      </c>
      <c r="O97" s="578"/>
      <c r="P97" s="578"/>
      <c r="Q97" s="578"/>
      <c r="R97" s="578"/>
      <c r="S97" s="578"/>
      <c r="T97" s="578"/>
      <c r="U97" s="578"/>
      <c r="V97" s="578">
        <f t="shared" ref="V97:V105" si="49">SUM(L97:T97)</f>
        <v>851171.45400000003</v>
      </c>
    </row>
    <row r="98" spans="1:22">
      <c r="A98" s="572" t="s">
        <v>214</v>
      </c>
      <c r="B98" s="582"/>
      <c r="C98" s="574"/>
      <c r="D98" s="574"/>
      <c r="E98" s="575">
        <v>2</v>
      </c>
      <c r="F98" s="580">
        <v>46266</v>
      </c>
      <c r="G98" s="576">
        <v>6</v>
      </c>
      <c r="H98" s="577">
        <f t="shared" ref="H98:H104" si="50">G98/26</f>
        <v>0.23076923076923078</v>
      </c>
      <c r="I98" s="578">
        <f>G98*C95</f>
        <v>2837238.18</v>
      </c>
      <c r="J98" s="579">
        <v>0.7</v>
      </c>
      <c r="K98" s="578">
        <f>J98*I98</f>
        <v>1986066.726</v>
      </c>
      <c r="L98" s="578"/>
      <c r="M98" s="578"/>
      <c r="N98" s="578">
        <f>K98</f>
        <v>1986066.726</v>
      </c>
      <c r="O98" s="578"/>
      <c r="P98" s="578"/>
      <c r="Q98" s="578"/>
      <c r="R98" s="578"/>
      <c r="S98" s="578"/>
      <c r="T98" s="578"/>
      <c r="U98" s="578"/>
      <c r="V98" s="578">
        <f t="shared" si="49"/>
        <v>1986066.726</v>
      </c>
    </row>
    <row r="99" spans="1:22">
      <c r="A99" s="572"/>
      <c r="B99" s="583"/>
      <c r="C99" s="574"/>
      <c r="D99" s="574"/>
      <c r="E99" s="575"/>
      <c r="F99" s="580">
        <v>46296</v>
      </c>
      <c r="G99" s="576"/>
      <c r="H99" s="577"/>
      <c r="I99" s="578">
        <f>G99*$C$106</f>
        <v>0</v>
      </c>
      <c r="J99" s="579">
        <v>0.3</v>
      </c>
      <c r="K99" s="578">
        <f>J99*I98</f>
        <v>851171.45400000003</v>
      </c>
      <c r="L99" s="578"/>
      <c r="M99" s="578"/>
      <c r="N99" s="578"/>
      <c r="O99" s="578">
        <f>K99</f>
        <v>851171.45400000003</v>
      </c>
      <c r="P99" s="578"/>
      <c r="Q99" s="578"/>
      <c r="R99" s="578"/>
      <c r="S99" s="578"/>
      <c r="T99" s="578"/>
      <c r="U99" s="578"/>
      <c r="V99" s="578">
        <f t="shared" si="49"/>
        <v>851171.45400000003</v>
      </c>
    </row>
    <row r="100" spans="1:22">
      <c r="A100" s="572" t="s">
        <v>217</v>
      </c>
      <c r="B100" s="583"/>
      <c r="C100" s="574"/>
      <c r="D100" s="574"/>
      <c r="E100" s="575">
        <v>3</v>
      </c>
      <c r="F100" s="580">
        <v>46296</v>
      </c>
      <c r="G100" s="576">
        <v>6</v>
      </c>
      <c r="H100" s="577">
        <f t="shared" si="50"/>
        <v>0.23076923076923078</v>
      </c>
      <c r="I100" s="578">
        <f>G100*C95</f>
        <v>2837238.18</v>
      </c>
      <c r="J100" s="579">
        <v>0.7</v>
      </c>
      <c r="K100" s="578">
        <f>I100*J100</f>
        <v>1986066.726</v>
      </c>
      <c r="L100" s="578"/>
      <c r="M100" s="578"/>
      <c r="N100" s="578"/>
      <c r="O100" s="578">
        <f>K100</f>
        <v>1986066.726</v>
      </c>
      <c r="P100" s="578"/>
      <c r="Q100" s="578"/>
      <c r="R100" s="578"/>
      <c r="S100" s="578"/>
      <c r="T100" s="578"/>
      <c r="U100" s="578"/>
      <c r="V100" s="578">
        <f t="shared" si="49"/>
        <v>1986066.726</v>
      </c>
    </row>
    <row r="101" spans="1:22">
      <c r="A101" s="572"/>
      <c r="B101" s="573"/>
      <c r="C101" s="574"/>
      <c r="D101" s="574"/>
      <c r="E101" s="575"/>
      <c r="F101" s="580">
        <v>46327</v>
      </c>
      <c r="G101" s="576"/>
      <c r="H101" s="577"/>
      <c r="I101" s="578">
        <f>G101*$C$106</f>
        <v>0</v>
      </c>
      <c r="J101" s="579">
        <v>0.3</v>
      </c>
      <c r="K101" s="578">
        <f>J101*I100</f>
        <v>851171.45400000003</v>
      </c>
      <c r="L101" s="578"/>
      <c r="M101" s="578"/>
      <c r="N101" s="578"/>
      <c r="O101" s="578"/>
      <c r="P101" s="578">
        <f>K101</f>
        <v>851171.45400000003</v>
      </c>
      <c r="Q101" s="578"/>
      <c r="R101" s="578"/>
      <c r="S101" s="578"/>
      <c r="T101" s="578"/>
      <c r="U101" s="578"/>
      <c r="V101" s="578">
        <f t="shared" si="49"/>
        <v>851171.45400000003</v>
      </c>
    </row>
    <row r="102" spans="1:22">
      <c r="A102" s="572" t="s">
        <v>218</v>
      </c>
      <c r="B102" s="573"/>
      <c r="C102" s="574"/>
      <c r="D102" s="574"/>
      <c r="E102" s="575">
        <v>4</v>
      </c>
      <c r="F102" s="580">
        <v>46327</v>
      </c>
      <c r="G102" s="576">
        <v>4</v>
      </c>
      <c r="H102" s="577">
        <f t="shared" si="50"/>
        <v>0.15384615384615385</v>
      </c>
      <c r="I102" s="578">
        <f>G102*C95</f>
        <v>1891492.12</v>
      </c>
      <c r="J102" s="579">
        <v>0.7</v>
      </c>
      <c r="K102" s="578">
        <f>J102*I102</f>
        <v>1324044.4839999999</v>
      </c>
      <c r="L102" s="578"/>
      <c r="M102" s="578"/>
      <c r="N102" s="578"/>
      <c r="O102" s="578"/>
      <c r="P102" s="578">
        <f>K102</f>
        <v>1324044.4839999999</v>
      </c>
      <c r="Q102" s="578"/>
      <c r="R102" s="578"/>
      <c r="S102" s="578"/>
      <c r="T102" s="578"/>
      <c r="U102" s="578"/>
      <c r="V102" s="578">
        <f t="shared" si="49"/>
        <v>1324044.4839999999</v>
      </c>
    </row>
    <row r="103" spans="1:22">
      <c r="A103" s="572"/>
      <c r="B103" s="573"/>
      <c r="C103" s="574"/>
      <c r="D103" s="574"/>
      <c r="E103" s="575"/>
      <c r="F103" s="580">
        <v>46357</v>
      </c>
      <c r="G103" s="576"/>
      <c r="H103" s="577"/>
      <c r="I103" s="578">
        <f>G103*$C$106</f>
        <v>0</v>
      </c>
      <c r="J103" s="579">
        <v>0.3</v>
      </c>
      <c r="K103" s="578">
        <f>I102*J103</f>
        <v>567447.63600000006</v>
      </c>
      <c r="L103" s="578"/>
      <c r="M103" s="578"/>
      <c r="N103" s="578"/>
      <c r="O103" s="578"/>
      <c r="P103" s="578"/>
      <c r="Q103" s="578">
        <f>K103</f>
        <v>567447.63600000006</v>
      </c>
      <c r="R103" s="578"/>
      <c r="S103" s="578"/>
      <c r="T103" s="578"/>
      <c r="U103" s="578"/>
      <c r="V103" s="578">
        <f t="shared" si="49"/>
        <v>567447.63600000006</v>
      </c>
    </row>
    <row r="104" spans="1:22">
      <c r="A104" s="572" t="s">
        <v>219</v>
      </c>
      <c r="B104" s="573"/>
      <c r="C104" s="574"/>
      <c r="D104" s="574"/>
      <c r="E104" s="575">
        <v>5</v>
      </c>
      <c r="F104" s="580">
        <v>46357</v>
      </c>
      <c r="G104" s="576">
        <v>4</v>
      </c>
      <c r="H104" s="577">
        <f t="shared" si="50"/>
        <v>0.15384615384615385</v>
      </c>
      <c r="I104" s="578">
        <f>G104*C95</f>
        <v>1891492.12</v>
      </c>
      <c r="J104" s="579">
        <v>0.7</v>
      </c>
      <c r="K104" s="578">
        <f>J104*I104</f>
        <v>1324044.4839999999</v>
      </c>
      <c r="L104" s="578"/>
      <c r="M104" s="578"/>
      <c r="N104" s="578"/>
      <c r="O104" s="578"/>
      <c r="P104" s="578"/>
      <c r="Q104" s="578">
        <f>K104</f>
        <v>1324044.4839999999</v>
      </c>
      <c r="R104" s="578"/>
      <c r="S104" s="578"/>
      <c r="T104" s="578"/>
      <c r="U104" s="578"/>
      <c r="V104" s="578">
        <f t="shared" si="49"/>
        <v>1324044.4839999999</v>
      </c>
    </row>
    <row r="105" spans="1:22">
      <c r="A105" s="572"/>
      <c r="B105" s="573"/>
      <c r="C105" s="574"/>
      <c r="D105" s="574"/>
      <c r="E105" s="575"/>
      <c r="F105" s="580">
        <v>46023</v>
      </c>
      <c r="G105" s="576"/>
      <c r="H105" s="577"/>
      <c r="I105" s="578">
        <f>G105*$C$106</f>
        <v>0</v>
      </c>
      <c r="J105" s="579">
        <v>0.3</v>
      </c>
      <c r="K105" s="578">
        <f>J105*I104</f>
        <v>567447.63600000006</v>
      </c>
      <c r="L105" s="578"/>
      <c r="M105" s="578"/>
      <c r="N105" s="578"/>
      <c r="O105" s="578"/>
      <c r="P105" s="578"/>
      <c r="Q105" s="578"/>
      <c r="R105" s="578">
        <f>K105</f>
        <v>567447.63600000006</v>
      </c>
      <c r="S105" s="578"/>
      <c r="T105" s="578"/>
      <c r="U105" s="578"/>
      <c r="V105" s="578">
        <f t="shared" si="49"/>
        <v>567447.63600000006</v>
      </c>
    </row>
    <row r="106" spans="1:22" ht="25.5">
      <c r="A106" s="558" t="s">
        <v>238</v>
      </c>
      <c r="B106" s="558" t="s">
        <v>239</v>
      </c>
      <c r="C106" s="559">
        <f>823799.93</f>
        <v>823799.93</v>
      </c>
      <c r="D106" s="560">
        <f>C106*26</f>
        <v>21418798.18</v>
      </c>
      <c r="E106" s="561"/>
      <c r="F106" s="561"/>
      <c r="G106" s="562">
        <f>SUM(G107:G118)</f>
        <v>26</v>
      </c>
      <c r="H106" s="563">
        <f>G106/26</f>
        <v>1</v>
      </c>
      <c r="I106" s="560">
        <f>SUM(I107:I118)</f>
        <v>21418798.18</v>
      </c>
      <c r="J106" s="561"/>
      <c r="K106" s="560">
        <f t="shared" ref="K106:U106" si="51">SUM(K107:K118)</f>
        <v>21418798.18</v>
      </c>
      <c r="L106" s="560">
        <f t="shared" si="51"/>
        <v>0</v>
      </c>
      <c r="M106" s="560">
        <f t="shared" si="51"/>
        <v>1977119.8320000002</v>
      </c>
      <c r="N106" s="560">
        <f t="shared" si="51"/>
        <v>1482839.8740000001</v>
      </c>
      <c r="O106" s="560">
        <f t="shared" si="51"/>
        <v>3459959.7060000002</v>
      </c>
      <c r="P106" s="560">
        <f t="shared" si="51"/>
        <v>1482839.8740000001</v>
      </c>
      <c r="Q106" s="560">
        <f t="shared" si="51"/>
        <v>3459959.7060000002</v>
      </c>
      <c r="R106" s="560">
        <f t="shared" si="51"/>
        <v>1482839.8740000001</v>
      </c>
      <c r="S106" s="560">
        <f t="shared" si="51"/>
        <v>4118999.6500000004</v>
      </c>
      <c r="T106" s="560">
        <f t="shared" si="51"/>
        <v>1977119.8319999999</v>
      </c>
      <c r="U106" s="560">
        <f t="shared" si="51"/>
        <v>1977119.8319999999</v>
      </c>
      <c r="V106" s="560">
        <f>SUM(L106:U106)</f>
        <v>21418798.18</v>
      </c>
    </row>
    <row r="107" spans="1:22">
      <c r="A107" s="572" t="s">
        <v>213</v>
      </c>
      <c r="B107" s="573"/>
      <c r="C107" s="574"/>
      <c r="D107" s="574"/>
      <c r="E107" s="575">
        <v>1</v>
      </c>
      <c r="F107" s="580">
        <v>46235</v>
      </c>
      <c r="G107" s="576">
        <v>6</v>
      </c>
      <c r="H107" s="577">
        <f>1/6</f>
        <v>0.16666666666666666</v>
      </c>
      <c r="I107" s="578">
        <f>G107*$C$106</f>
        <v>4942799.58</v>
      </c>
      <c r="J107" s="579">
        <v>0.4</v>
      </c>
      <c r="K107" s="578">
        <f t="shared" ref="K107:K116" si="52">I107*J107</f>
        <v>1977119.8320000002</v>
      </c>
      <c r="L107" s="578"/>
      <c r="M107" s="578">
        <f>K107</f>
        <v>1977119.8320000002</v>
      </c>
      <c r="N107" s="578"/>
      <c r="O107" s="578"/>
      <c r="P107" s="578"/>
      <c r="Q107" s="578"/>
      <c r="R107" s="578"/>
      <c r="S107" s="578"/>
      <c r="T107" s="578"/>
      <c r="U107" s="578"/>
      <c r="V107" s="578">
        <f>SUM(L107:T107)</f>
        <v>1977119.8320000002</v>
      </c>
    </row>
    <row r="108" spans="1:22">
      <c r="A108" s="572"/>
      <c r="B108" s="582"/>
      <c r="C108" s="574"/>
      <c r="D108" s="574"/>
      <c r="E108" s="575"/>
      <c r="F108" s="580">
        <v>46266</v>
      </c>
      <c r="G108" s="576"/>
      <c r="H108" s="577"/>
      <c r="I108" s="578"/>
      <c r="J108" s="579">
        <v>0.3</v>
      </c>
      <c r="K108" s="578">
        <f>J108*I107</f>
        <v>1482839.8740000001</v>
      </c>
      <c r="L108" s="578"/>
      <c r="M108" s="578"/>
      <c r="N108" s="578">
        <f>K108</f>
        <v>1482839.8740000001</v>
      </c>
      <c r="O108" s="578"/>
      <c r="P108" s="578"/>
      <c r="Q108" s="578"/>
      <c r="R108" s="578"/>
      <c r="S108" s="578"/>
      <c r="T108" s="578"/>
      <c r="U108" s="578"/>
      <c r="V108" s="578">
        <f t="shared" ref="V108:V118" si="53">SUM(L108:T108)</f>
        <v>1482839.8740000001</v>
      </c>
    </row>
    <row r="109" spans="1:22">
      <c r="A109" s="572"/>
      <c r="B109" s="582"/>
      <c r="C109" s="574"/>
      <c r="D109" s="574"/>
      <c r="E109" s="575"/>
      <c r="F109" s="580">
        <v>46296</v>
      </c>
      <c r="G109" s="576"/>
      <c r="H109" s="577"/>
      <c r="I109" s="578"/>
      <c r="J109" s="579">
        <v>0.3</v>
      </c>
      <c r="K109" s="578">
        <f>J109*I107</f>
        <v>1482839.8740000001</v>
      </c>
      <c r="L109" s="578"/>
      <c r="M109" s="578"/>
      <c r="N109" s="578"/>
      <c r="O109" s="578">
        <f>K109</f>
        <v>1482839.8740000001</v>
      </c>
      <c r="P109" s="578"/>
      <c r="Q109" s="578"/>
      <c r="R109" s="578"/>
      <c r="S109" s="578"/>
      <c r="T109" s="578"/>
      <c r="U109" s="578"/>
      <c r="V109" s="578">
        <f t="shared" si="53"/>
        <v>1482839.8740000001</v>
      </c>
    </row>
    <row r="110" spans="1:22">
      <c r="A110" s="572" t="s">
        <v>214</v>
      </c>
      <c r="B110" s="583"/>
      <c r="C110" s="574"/>
      <c r="D110" s="574"/>
      <c r="E110" s="575">
        <v>2</v>
      </c>
      <c r="F110" s="580">
        <v>46296</v>
      </c>
      <c r="G110" s="576">
        <v>6</v>
      </c>
      <c r="H110" s="577">
        <f>1/6</f>
        <v>0.16666666666666666</v>
      </c>
      <c r="I110" s="578">
        <f>G110*$C$106</f>
        <v>4942799.58</v>
      </c>
      <c r="J110" s="579">
        <v>0.4</v>
      </c>
      <c r="K110" s="578">
        <f t="shared" si="52"/>
        <v>1977119.8320000002</v>
      </c>
      <c r="L110" s="578"/>
      <c r="M110" s="578"/>
      <c r="N110" s="578"/>
      <c r="O110" s="578">
        <f>K110</f>
        <v>1977119.8320000002</v>
      </c>
      <c r="P110" s="578"/>
      <c r="Q110" s="578"/>
      <c r="R110" s="578"/>
      <c r="S110" s="578"/>
      <c r="T110" s="578"/>
      <c r="U110" s="578"/>
      <c r="V110" s="578">
        <f t="shared" si="53"/>
        <v>1977119.8320000002</v>
      </c>
    </row>
    <row r="111" spans="1:22">
      <c r="A111" s="572"/>
      <c r="B111" s="583"/>
      <c r="C111" s="574"/>
      <c r="D111" s="574"/>
      <c r="E111" s="575"/>
      <c r="F111" s="580">
        <v>46327</v>
      </c>
      <c r="G111" s="576"/>
      <c r="H111" s="577"/>
      <c r="I111" s="578"/>
      <c r="J111" s="579">
        <v>0.3</v>
      </c>
      <c r="K111" s="578">
        <f>J111*I110</f>
        <v>1482839.8740000001</v>
      </c>
      <c r="L111" s="578"/>
      <c r="M111" s="578"/>
      <c r="N111" s="578"/>
      <c r="O111" s="578"/>
      <c r="P111" s="578">
        <f>K111</f>
        <v>1482839.8740000001</v>
      </c>
      <c r="Q111" s="578"/>
      <c r="R111" s="578"/>
      <c r="S111" s="578"/>
      <c r="T111" s="578"/>
      <c r="U111" s="578"/>
      <c r="V111" s="578">
        <f t="shared" si="53"/>
        <v>1482839.8740000001</v>
      </c>
    </row>
    <row r="112" spans="1:22">
      <c r="A112" s="572"/>
      <c r="B112" s="583"/>
      <c r="C112" s="574"/>
      <c r="D112" s="574"/>
      <c r="E112" s="575"/>
      <c r="F112" s="580">
        <v>46357</v>
      </c>
      <c r="G112" s="576"/>
      <c r="H112" s="577"/>
      <c r="I112" s="578"/>
      <c r="J112" s="579">
        <v>0.3</v>
      </c>
      <c r="K112" s="578">
        <f>J112*I110</f>
        <v>1482839.8740000001</v>
      </c>
      <c r="L112" s="578"/>
      <c r="M112" s="578"/>
      <c r="N112" s="578"/>
      <c r="O112" s="578"/>
      <c r="P112" s="578"/>
      <c r="Q112" s="578">
        <f>K112</f>
        <v>1482839.8740000001</v>
      </c>
      <c r="R112" s="578"/>
      <c r="S112" s="578"/>
      <c r="T112" s="578"/>
      <c r="U112" s="578"/>
      <c r="V112" s="578">
        <f t="shared" si="53"/>
        <v>1482839.8740000001</v>
      </c>
    </row>
    <row r="113" spans="1:22">
      <c r="A113" s="572" t="s">
        <v>217</v>
      </c>
      <c r="B113" s="573"/>
      <c r="C113" s="574"/>
      <c r="D113" s="574"/>
      <c r="E113" s="575">
        <v>3</v>
      </c>
      <c r="F113" s="580">
        <v>46357</v>
      </c>
      <c r="G113" s="576">
        <v>6</v>
      </c>
      <c r="H113" s="577">
        <f>1/6</f>
        <v>0.16666666666666666</v>
      </c>
      <c r="I113" s="578">
        <f>G113*$C$106</f>
        <v>4942799.58</v>
      </c>
      <c r="J113" s="579">
        <v>0.4</v>
      </c>
      <c r="K113" s="578">
        <f t="shared" si="52"/>
        <v>1977119.8320000002</v>
      </c>
      <c r="L113" s="578"/>
      <c r="M113" s="578"/>
      <c r="N113" s="578"/>
      <c r="O113" s="578"/>
      <c r="P113" s="578"/>
      <c r="Q113" s="578">
        <f>K113</f>
        <v>1977119.8320000002</v>
      </c>
      <c r="R113" s="578"/>
      <c r="S113" s="578"/>
      <c r="T113" s="578"/>
      <c r="U113" s="578"/>
      <c r="V113" s="578">
        <f t="shared" si="53"/>
        <v>1977119.8320000002</v>
      </c>
    </row>
    <row r="114" spans="1:22">
      <c r="A114" s="572"/>
      <c r="B114" s="573"/>
      <c r="C114" s="574"/>
      <c r="D114" s="574"/>
      <c r="E114" s="575"/>
      <c r="F114" s="580">
        <v>46388</v>
      </c>
      <c r="G114" s="576"/>
      <c r="H114" s="577"/>
      <c r="I114" s="578"/>
      <c r="J114" s="579">
        <v>0.3</v>
      </c>
      <c r="K114" s="578">
        <f>I113*J114</f>
        <v>1482839.8740000001</v>
      </c>
      <c r="L114" s="578"/>
      <c r="M114" s="578"/>
      <c r="N114" s="578"/>
      <c r="O114" s="578"/>
      <c r="P114" s="578"/>
      <c r="Q114" s="578"/>
      <c r="R114" s="578">
        <f>K114</f>
        <v>1482839.8740000001</v>
      </c>
      <c r="S114" s="578"/>
      <c r="T114" s="578"/>
      <c r="U114" s="578"/>
      <c r="V114" s="578">
        <f t="shared" si="53"/>
        <v>1482839.8740000001</v>
      </c>
    </row>
    <row r="115" spans="1:22">
      <c r="A115" s="572"/>
      <c r="B115" s="573"/>
      <c r="C115" s="574"/>
      <c r="D115" s="574"/>
      <c r="E115" s="575"/>
      <c r="F115" s="580">
        <v>46419</v>
      </c>
      <c r="G115" s="576"/>
      <c r="H115" s="577"/>
      <c r="I115" s="578"/>
      <c r="J115" s="579">
        <v>0.3</v>
      </c>
      <c r="K115" s="578">
        <f>J115*I113</f>
        <v>1482839.8740000001</v>
      </c>
      <c r="L115" s="578"/>
      <c r="M115" s="578"/>
      <c r="N115" s="578"/>
      <c r="O115" s="578"/>
      <c r="P115" s="578"/>
      <c r="Q115" s="578"/>
      <c r="R115" s="578"/>
      <c r="S115" s="578">
        <f>K115</f>
        <v>1482839.8740000001</v>
      </c>
      <c r="T115" s="578"/>
      <c r="U115" s="578"/>
      <c r="V115" s="578">
        <f t="shared" si="53"/>
        <v>1482839.8740000001</v>
      </c>
    </row>
    <row r="116" spans="1:22">
      <c r="A116" s="572" t="s">
        <v>218</v>
      </c>
      <c r="B116" s="573"/>
      <c r="C116" s="574"/>
      <c r="D116" s="574"/>
      <c r="E116" s="575">
        <v>4</v>
      </c>
      <c r="F116" s="580">
        <v>46419</v>
      </c>
      <c r="G116" s="576">
        <v>8</v>
      </c>
      <c r="H116" s="577">
        <f>1/6</f>
        <v>0.16666666666666666</v>
      </c>
      <c r="I116" s="578">
        <f>G116*$C$106</f>
        <v>6590399.4400000004</v>
      </c>
      <c r="J116" s="579">
        <v>0.4</v>
      </c>
      <c r="K116" s="578">
        <f t="shared" si="52"/>
        <v>2636159.7760000005</v>
      </c>
      <c r="L116" s="578"/>
      <c r="M116" s="578"/>
      <c r="N116" s="578"/>
      <c r="O116" s="578"/>
      <c r="P116" s="578"/>
      <c r="Q116" s="578"/>
      <c r="R116" s="578"/>
      <c r="S116" s="578">
        <f>K116</f>
        <v>2636159.7760000005</v>
      </c>
      <c r="T116" s="578"/>
      <c r="U116" s="578"/>
      <c r="V116" s="578">
        <f t="shared" si="53"/>
        <v>2636159.7760000005</v>
      </c>
    </row>
    <row r="117" spans="1:22">
      <c r="A117" s="572"/>
      <c r="B117" s="573"/>
      <c r="C117" s="574"/>
      <c r="D117" s="574"/>
      <c r="E117" s="575"/>
      <c r="F117" s="580">
        <v>46447</v>
      </c>
      <c r="G117" s="576"/>
      <c r="H117" s="577"/>
      <c r="I117" s="578"/>
      <c r="J117" s="579">
        <v>0.3</v>
      </c>
      <c r="K117" s="578">
        <f>I116*J117</f>
        <v>1977119.8319999999</v>
      </c>
      <c r="L117" s="578"/>
      <c r="M117" s="578"/>
      <c r="N117" s="578"/>
      <c r="O117" s="578"/>
      <c r="P117" s="578"/>
      <c r="Q117" s="578"/>
      <c r="R117" s="578"/>
      <c r="S117" s="578"/>
      <c r="T117" s="578">
        <f>K117</f>
        <v>1977119.8319999999</v>
      </c>
      <c r="U117" s="578"/>
      <c r="V117" s="578">
        <f t="shared" si="53"/>
        <v>1977119.8319999999</v>
      </c>
    </row>
    <row r="118" spans="1:22">
      <c r="A118" s="572"/>
      <c r="B118" s="573"/>
      <c r="C118" s="574"/>
      <c r="D118" s="574"/>
      <c r="E118" s="575"/>
      <c r="F118" s="580">
        <v>46478</v>
      </c>
      <c r="G118" s="576"/>
      <c r="H118" s="577"/>
      <c r="I118" s="578"/>
      <c r="J118" s="579">
        <v>0.3</v>
      </c>
      <c r="K118" s="578">
        <f>J118*I116</f>
        <v>1977119.8319999999</v>
      </c>
      <c r="L118" s="578"/>
      <c r="M118" s="578"/>
      <c r="N118" s="578"/>
      <c r="O118" s="578"/>
      <c r="P118" s="578"/>
      <c r="Q118" s="578"/>
      <c r="R118" s="578"/>
      <c r="S118" s="578"/>
      <c r="T118" s="578"/>
      <c r="U118" s="578">
        <f>K118</f>
        <v>1977119.8319999999</v>
      </c>
      <c r="V118" s="578">
        <f t="shared" si="53"/>
        <v>0</v>
      </c>
    </row>
    <row r="119" spans="1:22" ht="25.5">
      <c r="A119" s="558" t="s">
        <v>240</v>
      </c>
      <c r="B119" s="558" t="s">
        <v>156</v>
      </c>
      <c r="C119" s="559">
        <v>688410</v>
      </c>
      <c r="D119" s="560">
        <f>C119*26</f>
        <v>17898660</v>
      </c>
      <c r="E119" s="561"/>
      <c r="F119" s="561"/>
      <c r="G119" s="562">
        <f>SUM(G120:G125)</f>
        <v>26</v>
      </c>
      <c r="H119" s="563">
        <f t="shared" ref="H119:H120" si="54">G119/26</f>
        <v>1</v>
      </c>
      <c r="I119" s="560">
        <f>SUM(I120:I125)</f>
        <v>17898660</v>
      </c>
      <c r="J119" s="561"/>
      <c r="K119" s="560">
        <f t="shared" ref="K119:T119" si="55">SUM(K120:K125)</f>
        <v>17898660</v>
      </c>
      <c r="L119" s="560">
        <f t="shared" si="55"/>
        <v>0</v>
      </c>
      <c r="M119" s="560">
        <f t="shared" si="55"/>
        <v>0</v>
      </c>
      <c r="N119" s="560">
        <f t="shared" si="55"/>
        <v>3579732</v>
      </c>
      <c r="O119" s="560">
        <f t="shared" si="55"/>
        <v>3579732</v>
      </c>
      <c r="P119" s="560">
        <f t="shared" si="55"/>
        <v>0</v>
      </c>
      <c r="Q119" s="560">
        <f t="shared" si="55"/>
        <v>5369598</v>
      </c>
      <c r="R119" s="560">
        <f t="shared" si="55"/>
        <v>1789866</v>
      </c>
      <c r="S119" s="560">
        <f t="shared" si="55"/>
        <v>1789866</v>
      </c>
      <c r="T119" s="560">
        <f t="shared" si="55"/>
        <v>1789866</v>
      </c>
      <c r="U119" s="560"/>
      <c r="V119" s="560">
        <f>SUM(L119:U119)</f>
        <v>17898660</v>
      </c>
    </row>
    <row r="120" spans="1:22">
      <c r="A120" s="572" t="s">
        <v>213</v>
      </c>
      <c r="B120" s="573"/>
      <c r="C120" s="574"/>
      <c r="D120" s="574"/>
      <c r="E120" s="575">
        <v>1</v>
      </c>
      <c r="F120" s="580">
        <v>46266</v>
      </c>
      <c r="G120" s="576">
        <v>26</v>
      </c>
      <c r="H120" s="577">
        <f t="shared" si="54"/>
        <v>1</v>
      </c>
      <c r="I120" s="578">
        <f>G120*C119</f>
        <v>17898660</v>
      </c>
      <c r="J120" s="579">
        <v>0.2</v>
      </c>
      <c r="K120" s="578">
        <f>J120*$I$120</f>
        <v>3579732</v>
      </c>
      <c r="L120" s="578"/>
      <c r="M120" s="578"/>
      <c r="N120" s="578">
        <f>K120</f>
        <v>3579732</v>
      </c>
      <c r="O120" s="578"/>
      <c r="P120" s="578"/>
      <c r="Q120" s="578"/>
      <c r="R120" s="578"/>
      <c r="S120" s="578"/>
      <c r="T120" s="578"/>
      <c r="U120" s="578"/>
      <c r="V120" s="578">
        <f>SUM(L120:T120)</f>
        <v>3579732</v>
      </c>
    </row>
    <row r="121" spans="1:22">
      <c r="A121" s="572"/>
      <c r="B121" s="573"/>
      <c r="C121" s="574"/>
      <c r="D121" s="574"/>
      <c r="E121" s="575"/>
      <c r="F121" s="580">
        <v>46296</v>
      </c>
      <c r="G121" s="576"/>
      <c r="H121" s="577"/>
      <c r="I121" s="578"/>
      <c r="J121" s="579">
        <v>0.2</v>
      </c>
      <c r="K121" s="578">
        <f t="shared" ref="K121:K125" si="56">J121*$I$120</f>
        <v>3579732</v>
      </c>
      <c r="L121" s="578"/>
      <c r="M121" s="578"/>
      <c r="N121" s="578"/>
      <c r="O121" s="578">
        <f>K121</f>
        <v>3579732</v>
      </c>
      <c r="P121" s="578"/>
      <c r="Q121" s="578"/>
      <c r="R121" s="578"/>
      <c r="S121" s="578"/>
      <c r="T121" s="578"/>
      <c r="U121" s="578"/>
      <c r="V121" s="578">
        <f t="shared" ref="V121:V125" si="57">SUM(L121:T121)</f>
        <v>3579732</v>
      </c>
    </row>
    <row r="122" spans="1:22">
      <c r="A122" s="572"/>
      <c r="B122" s="573"/>
      <c r="C122" s="574"/>
      <c r="D122" s="574"/>
      <c r="E122" s="575"/>
      <c r="F122" s="580">
        <v>46357</v>
      </c>
      <c r="G122" s="576"/>
      <c r="H122" s="577"/>
      <c r="I122" s="578"/>
      <c r="J122" s="579">
        <v>0.3</v>
      </c>
      <c r="K122" s="578">
        <f t="shared" si="56"/>
        <v>5369598</v>
      </c>
      <c r="L122" s="578"/>
      <c r="M122" s="578"/>
      <c r="N122" s="578"/>
      <c r="O122" s="578"/>
      <c r="P122" s="578"/>
      <c r="Q122" s="578">
        <f>K122</f>
        <v>5369598</v>
      </c>
      <c r="R122" s="578"/>
      <c r="S122" s="578"/>
      <c r="T122" s="578"/>
      <c r="U122" s="578"/>
      <c r="V122" s="578">
        <f t="shared" si="57"/>
        <v>5369598</v>
      </c>
    </row>
    <row r="123" spans="1:22">
      <c r="A123" s="572"/>
      <c r="B123" s="573"/>
      <c r="C123" s="574"/>
      <c r="D123" s="574"/>
      <c r="E123" s="575"/>
      <c r="F123" s="580">
        <v>46023</v>
      </c>
      <c r="G123" s="576"/>
      <c r="H123" s="577"/>
      <c r="I123" s="578"/>
      <c r="J123" s="579">
        <v>0.1</v>
      </c>
      <c r="K123" s="578">
        <f t="shared" si="56"/>
        <v>1789866</v>
      </c>
      <c r="L123" s="578"/>
      <c r="M123" s="578"/>
      <c r="N123" s="578"/>
      <c r="O123" s="578"/>
      <c r="P123" s="578"/>
      <c r="Q123" s="578"/>
      <c r="R123" s="578">
        <f>K123</f>
        <v>1789866</v>
      </c>
      <c r="S123" s="578"/>
      <c r="T123" s="578"/>
      <c r="U123" s="578"/>
      <c r="V123" s="578">
        <f t="shared" si="57"/>
        <v>1789866</v>
      </c>
    </row>
    <row r="124" spans="1:22">
      <c r="A124" s="572"/>
      <c r="B124" s="573"/>
      <c r="C124" s="574"/>
      <c r="D124" s="574"/>
      <c r="E124" s="575"/>
      <c r="F124" s="580">
        <v>46054</v>
      </c>
      <c r="G124" s="576"/>
      <c r="H124" s="577"/>
      <c r="I124" s="578"/>
      <c r="J124" s="579">
        <v>0.1</v>
      </c>
      <c r="K124" s="578">
        <f t="shared" si="56"/>
        <v>1789866</v>
      </c>
      <c r="L124" s="578"/>
      <c r="M124" s="578"/>
      <c r="N124" s="578"/>
      <c r="O124" s="578"/>
      <c r="P124" s="578"/>
      <c r="Q124" s="578"/>
      <c r="R124" s="578"/>
      <c r="S124" s="578">
        <f>K124</f>
        <v>1789866</v>
      </c>
      <c r="T124" s="578"/>
      <c r="U124" s="578"/>
      <c r="V124" s="578">
        <f t="shared" si="57"/>
        <v>1789866</v>
      </c>
    </row>
    <row r="125" spans="1:22">
      <c r="A125" s="572"/>
      <c r="B125" s="573"/>
      <c r="C125" s="574"/>
      <c r="D125" s="574"/>
      <c r="E125" s="575"/>
      <c r="F125" s="580">
        <v>46266</v>
      </c>
      <c r="G125" s="576"/>
      <c r="H125" s="577"/>
      <c r="I125" s="578"/>
      <c r="J125" s="579">
        <v>0.1</v>
      </c>
      <c r="K125" s="578">
        <f t="shared" si="56"/>
        <v>1789866</v>
      </c>
      <c r="L125" s="578"/>
      <c r="M125" s="578"/>
      <c r="N125" s="578"/>
      <c r="O125" s="578"/>
      <c r="P125" s="578"/>
      <c r="Q125" s="578"/>
      <c r="R125" s="578"/>
      <c r="S125" s="578"/>
      <c r="T125" s="578">
        <f>K125</f>
        <v>1789866</v>
      </c>
      <c r="U125" s="578"/>
      <c r="V125" s="578">
        <f t="shared" si="57"/>
        <v>1789866</v>
      </c>
    </row>
    <row r="126" spans="1:22" ht="15" customHeight="1">
      <c r="A126" s="699" t="s">
        <v>241</v>
      </c>
      <c r="B126" s="699"/>
      <c r="C126" s="584"/>
      <c r="D126" s="585">
        <f>D7+D21+D27+D36+D42+D45+D50+D63+D78+D85+D95+D106+D119</f>
        <v>198278400.47000003</v>
      </c>
      <c r="E126" s="584"/>
      <c r="F126" s="584"/>
      <c r="G126" s="586"/>
      <c r="H126" s="584"/>
      <c r="I126" s="585">
        <f>I7+I21+I27+I36+I42+I45+I50+I63+I78+I85+I95+I106+I119</f>
        <v>198278400.47</v>
      </c>
      <c r="J126" s="584"/>
      <c r="K126" s="585">
        <f>K7+K21+K27+K36+K42+K45+K50+K63+K78+K85+K95+K106+K119</f>
        <v>198278400.47000003</v>
      </c>
      <c r="L126" s="585">
        <f t="shared" ref="L126:V126" si="58">L7+L21+L27+L36+L42+L45+L50+L63+L78+L85+L95+L106+L119+L33</f>
        <v>12730214.489</v>
      </c>
      <c r="M126" s="585">
        <f t="shared" si="58"/>
        <v>32072673.001000002</v>
      </c>
      <c r="N126" s="585">
        <f t="shared" si="58"/>
        <v>39348919.517200001</v>
      </c>
      <c r="O126" s="585">
        <f t="shared" si="58"/>
        <v>41317733.067200005</v>
      </c>
      <c r="P126" s="585">
        <f t="shared" si="58"/>
        <v>23575234.782200005</v>
      </c>
      <c r="Q126" s="585">
        <f t="shared" si="58"/>
        <v>26589725.397200003</v>
      </c>
      <c r="R126" s="585">
        <f t="shared" si="58"/>
        <v>11323708.375200002</v>
      </c>
      <c r="S126" s="585">
        <f t="shared" si="58"/>
        <v>9671086.1770000011</v>
      </c>
      <c r="T126" s="585">
        <f t="shared" si="58"/>
        <v>3766985.8319999999</v>
      </c>
      <c r="U126" s="585">
        <f t="shared" si="58"/>
        <v>1977119.8319999999</v>
      </c>
      <c r="V126" s="585">
        <f t="shared" si="58"/>
        <v>202373400.47000003</v>
      </c>
    </row>
    <row r="127" spans="1:22" ht="15" customHeight="1">
      <c r="A127" s="700" t="s">
        <v>242</v>
      </c>
      <c r="B127" s="700"/>
      <c r="C127" s="700"/>
      <c r="D127" s="700"/>
      <c r="E127" s="700"/>
      <c r="F127" s="700"/>
      <c r="G127" s="700"/>
      <c r="H127" s="700"/>
      <c r="I127" s="700"/>
      <c r="J127" s="700"/>
      <c r="K127" s="700"/>
      <c r="L127" s="587">
        <f>L126</f>
        <v>12730214.489</v>
      </c>
      <c r="M127" s="587">
        <f>L127+M126</f>
        <v>44802887.490000002</v>
      </c>
      <c r="N127" s="587">
        <f>M127+N126</f>
        <v>84151807.007200003</v>
      </c>
      <c r="O127" s="587">
        <f>N127+O126</f>
        <v>125469540.07440001</v>
      </c>
      <c r="P127" s="587">
        <f>O127+P126</f>
        <v>149044774.85660002</v>
      </c>
      <c r="Q127" s="587">
        <f>P127+Q126</f>
        <v>175634500.25380003</v>
      </c>
      <c r="R127" s="587">
        <f t="shared" ref="R127:U127" si="59">Q127+R126</f>
        <v>186958208.62900004</v>
      </c>
      <c r="S127" s="587">
        <f t="shared" si="59"/>
        <v>196629294.80600005</v>
      </c>
      <c r="T127" s="587">
        <f t="shared" si="59"/>
        <v>200396280.63800004</v>
      </c>
      <c r="U127" s="587">
        <f t="shared" si="59"/>
        <v>202373400.47000003</v>
      </c>
      <c r="V127" s="587"/>
    </row>
    <row r="128" spans="1:22">
      <c r="A128" s="701"/>
      <c r="B128" s="701"/>
      <c r="C128" s="701"/>
      <c r="D128" s="701"/>
      <c r="E128" s="701"/>
      <c r="F128" s="701"/>
      <c r="G128" s="701"/>
      <c r="H128" s="701"/>
      <c r="I128" s="701"/>
      <c r="J128" s="701"/>
      <c r="K128" s="701"/>
      <c r="L128" s="588"/>
      <c r="M128" s="588"/>
      <c r="N128" s="588"/>
      <c r="O128" s="588"/>
      <c r="P128" s="588"/>
      <c r="Q128" s="588"/>
      <c r="R128" s="588"/>
      <c r="S128" s="588"/>
      <c r="T128" s="588"/>
      <c r="U128" s="588"/>
    </row>
    <row r="132" spans="19:20">
      <c r="S132" s="589"/>
      <c r="T132" s="589"/>
    </row>
  </sheetData>
  <mergeCells count="19">
    <mergeCell ref="L5:Q5"/>
    <mergeCell ref="V5:V6"/>
    <mergeCell ref="A1:V1"/>
    <mergeCell ref="A2:V2"/>
    <mergeCell ref="A3:V3"/>
    <mergeCell ref="A5:A6"/>
    <mergeCell ref="B5:B6"/>
    <mergeCell ref="C5:C6"/>
    <mergeCell ref="D5:D6"/>
    <mergeCell ref="E5:E6"/>
    <mergeCell ref="F5:F6"/>
    <mergeCell ref="G5:G6"/>
    <mergeCell ref="A126:B126"/>
    <mergeCell ref="A127:K127"/>
    <mergeCell ref="A128:K128"/>
    <mergeCell ref="H5:H6"/>
    <mergeCell ref="I5:I6"/>
    <mergeCell ref="J5:J6"/>
    <mergeCell ref="K5:K6"/>
  </mergeCells>
  <dataValidations count="1">
    <dataValidation type="list" sqref="F37:F41 F107:F118 F51:F62 F34:F35 F120:F125 F22:F26 F64:F77 F86:F94 F96:F105 F13:F20 F43:F44 F46:F49 F28:F32 F79:F84" xr:uid="{EA6916F1-EEE7-46CB-8D38-872295F32748}">
      <formula1>"Jul-26,Ago-26,Sep-26,Oct-26,Nov-26,Dic-26"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6C30-B2B7-4567-A3D3-781934DDDB9C}">
  <sheetPr>
    <tabColor theme="0" tint="-4.9989318521683403E-2"/>
  </sheetPr>
  <dimension ref="A1:V72"/>
  <sheetViews>
    <sheetView topLeftCell="D3" zoomScale="60" zoomScaleNormal="60" workbookViewId="0">
      <pane ySplit="5" topLeftCell="A16" activePane="bottomLeft" state="frozen"/>
      <selection activeCell="G3" sqref="G3"/>
      <selection pane="bottomLeft" activeCell="N46" sqref="N46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93.62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8" width="25.625" style="5" customWidth="1"/>
    <col min="19" max="21" width="11.5" style="5"/>
    <col min="22" max="22" width="22.75" style="5" customWidth="1"/>
    <col min="23" max="16384" width="11.5" style="5"/>
  </cols>
  <sheetData>
    <row r="1" spans="1:18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</row>
    <row r="2" spans="1:18" ht="20.25" customHeight="1" thickBot="1"/>
    <row r="3" spans="1:18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2"/>
      <c r="L3" s="22"/>
      <c r="M3" s="22"/>
      <c r="N3" s="22"/>
      <c r="O3" s="21" t="s">
        <v>5</v>
      </c>
      <c r="P3" s="23">
        <v>1</v>
      </c>
      <c r="Q3" s="24"/>
      <c r="R3" s="24"/>
    </row>
    <row r="4" spans="1:18" ht="63" customHeight="1">
      <c r="A4" s="25"/>
      <c r="B4" s="690" t="s">
        <v>6</v>
      </c>
      <c r="C4" s="690"/>
      <c r="D4" s="691" t="s">
        <v>133</v>
      </c>
      <c r="E4" s="691"/>
      <c r="F4" s="691"/>
      <c r="G4" s="691"/>
      <c r="H4" s="22"/>
      <c r="I4" s="26"/>
      <c r="J4" s="81"/>
      <c r="K4" s="81"/>
      <c r="L4" s="81"/>
      <c r="M4" s="81"/>
      <c r="N4" s="81"/>
      <c r="O4" s="22"/>
      <c r="P4" s="22"/>
      <c r="Q4" s="82"/>
      <c r="R4" s="204"/>
    </row>
    <row r="5" spans="1:18" ht="18" customHeigh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18" customHeight="1" thickBot="1">
      <c r="A6" s="6"/>
      <c r="B6" s="6"/>
      <c r="C6" s="6"/>
      <c r="D6" s="6"/>
      <c r="E6" s="6"/>
      <c r="F6" s="6"/>
      <c r="G6" s="6"/>
      <c r="H6" s="6"/>
      <c r="I6" s="693"/>
      <c r="J6" s="694"/>
      <c r="K6" s="694"/>
      <c r="L6" s="694"/>
      <c r="M6" s="694"/>
      <c r="N6" s="694"/>
      <c r="O6" s="694"/>
      <c r="P6" s="694"/>
      <c r="Q6" s="694"/>
      <c r="R6" s="694"/>
    </row>
    <row r="7" spans="1:18" ht="62.25" customHeight="1" thickBot="1">
      <c r="B7" s="695" t="s">
        <v>8</v>
      </c>
      <c r="C7" s="696"/>
      <c r="D7" s="696"/>
      <c r="E7" s="696"/>
      <c r="F7" s="696"/>
      <c r="G7" s="696"/>
      <c r="H7" s="735"/>
      <c r="I7" s="697" t="s">
        <v>115</v>
      </c>
      <c r="J7" s="698"/>
      <c r="K7" s="697" t="s">
        <v>183</v>
      </c>
      <c r="L7" s="698"/>
      <c r="M7" s="697" t="s">
        <v>127</v>
      </c>
      <c r="N7" s="698"/>
      <c r="O7" s="697" t="s">
        <v>128</v>
      </c>
      <c r="P7" s="698"/>
      <c r="Q7" s="697" t="s">
        <v>134</v>
      </c>
      <c r="R7" s="698"/>
    </row>
    <row r="8" spans="1:18" ht="54.75" customHeight="1" thickBot="1">
      <c r="A8" s="6"/>
      <c r="B8" s="18" t="s">
        <v>10</v>
      </c>
      <c r="C8" s="736" t="s">
        <v>11</v>
      </c>
      <c r="D8" s="736"/>
      <c r="E8" s="320" t="s">
        <v>12</v>
      </c>
      <c r="F8" s="319" t="s">
        <v>13</v>
      </c>
      <c r="G8" s="319" t="s">
        <v>14</v>
      </c>
      <c r="H8" s="206" t="s">
        <v>15</v>
      </c>
      <c r="I8" s="18" t="s">
        <v>14</v>
      </c>
      <c r="J8" s="19" t="s">
        <v>15</v>
      </c>
      <c r="K8" s="18" t="s">
        <v>14</v>
      </c>
      <c r="L8" s="19" t="s">
        <v>15</v>
      </c>
      <c r="M8" s="18" t="s">
        <v>14</v>
      </c>
      <c r="N8" s="19" t="s">
        <v>15</v>
      </c>
      <c r="O8" s="18" t="s">
        <v>14</v>
      </c>
      <c r="P8" s="19" t="s">
        <v>15</v>
      </c>
      <c r="Q8" s="18" t="s">
        <v>14</v>
      </c>
      <c r="R8" s="19" t="s">
        <v>15</v>
      </c>
    </row>
    <row r="9" spans="1:18" ht="45.75" customHeight="1">
      <c r="A9" s="679"/>
      <c r="B9" s="321">
        <v>1</v>
      </c>
      <c r="C9" s="714" t="s">
        <v>135</v>
      </c>
      <c r="D9" s="715"/>
      <c r="E9" s="322" t="s">
        <v>50</v>
      </c>
      <c r="F9" s="323">
        <v>6</v>
      </c>
      <c r="G9" s="324">
        <v>43223.85</v>
      </c>
      <c r="H9" s="325">
        <f>G9*F9</f>
        <v>259343.09999999998</v>
      </c>
      <c r="I9" s="326">
        <f>655*1.18*60.2</f>
        <v>46528.58</v>
      </c>
      <c r="J9" s="327">
        <f>F9*I9</f>
        <v>279171.48</v>
      </c>
      <c r="K9" s="503">
        <v>39900</v>
      </c>
      <c r="L9" s="504">
        <f>F9*K9</f>
        <v>239400</v>
      </c>
      <c r="M9" s="326">
        <f>687.82*60.2</f>
        <v>41406.764000000003</v>
      </c>
      <c r="N9" s="213">
        <f>F9*M9</f>
        <v>248440.58400000003</v>
      </c>
      <c r="O9" s="17">
        <f>(655*60.2)*1.018</f>
        <v>40140.758000000002</v>
      </c>
      <c r="P9" s="215">
        <f>F9*O9</f>
        <v>240844.54800000001</v>
      </c>
      <c r="Q9" s="90">
        <f>(662*60.2)*1.18</f>
        <v>47025.832000000002</v>
      </c>
      <c r="R9" s="276">
        <f>F9*Q9</f>
        <v>282154.99200000003</v>
      </c>
    </row>
    <row r="10" spans="1:18" ht="48" customHeight="1">
      <c r="A10" s="679"/>
      <c r="B10" s="321">
        <v>2</v>
      </c>
      <c r="C10" s="716" t="s">
        <v>136</v>
      </c>
      <c r="D10" s="717"/>
      <c r="E10" s="328" t="s">
        <v>50</v>
      </c>
      <c r="F10" s="329">
        <v>6</v>
      </c>
      <c r="G10" s="330">
        <v>54433.85</v>
      </c>
      <c r="H10" s="331">
        <f>G10*F10</f>
        <v>326603.09999999998</v>
      </c>
      <c r="I10" s="332">
        <f>990*1.18*60.2</f>
        <v>70325.64</v>
      </c>
      <c r="J10" s="217">
        <f t="shared" ref="J10" si="0">F10*I10</f>
        <v>421953.83999999997</v>
      </c>
      <c r="K10" s="336">
        <v>74900</v>
      </c>
      <c r="L10" s="222">
        <f>F10*K10</f>
        <v>449400</v>
      </c>
      <c r="M10" s="332">
        <f>1289.39*60.2</f>
        <v>77621.278000000006</v>
      </c>
      <c r="N10" s="222">
        <f t="shared" ref="N10" si="1">F10*M10</f>
        <v>465727.66800000006</v>
      </c>
      <c r="O10" s="333">
        <f>(1753*60.2)*1.018</f>
        <v>107430.1508</v>
      </c>
      <c r="P10" s="215">
        <f t="shared" ref="P10" si="2">F10*O10</f>
        <v>644580.90480000002</v>
      </c>
      <c r="Q10" s="90">
        <f>(1183*60.2)*1.18</f>
        <v>84035.588000000003</v>
      </c>
      <c r="R10" s="276">
        <f>F10*Q10</f>
        <v>504213.52800000005</v>
      </c>
    </row>
    <row r="11" spans="1:18" ht="48" customHeight="1">
      <c r="A11" s="679"/>
      <c r="B11" s="321"/>
      <c r="C11" s="716"/>
      <c r="D11" s="717"/>
      <c r="E11" s="328"/>
      <c r="F11" s="329"/>
      <c r="G11" s="334"/>
      <c r="H11" s="335"/>
      <c r="I11" s="332"/>
      <c r="J11" s="217"/>
      <c r="K11" s="336"/>
      <c r="L11" s="222"/>
      <c r="M11" s="362"/>
      <c r="N11" s="222"/>
      <c r="O11" s="218"/>
      <c r="P11" s="217"/>
      <c r="Q11" s="218"/>
      <c r="R11" s="217"/>
    </row>
    <row r="12" spans="1:18" ht="48" customHeight="1">
      <c r="A12" s="679"/>
      <c r="B12" s="321"/>
      <c r="C12" s="718"/>
      <c r="D12" s="719"/>
      <c r="E12" s="84"/>
      <c r="F12" s="84"/>
      <c r="G12" s="151"/>
      <c r="H12" s="307"/>
      <c r="I12" s="157"/>
      <c r="J12" s="172"/>
      <c r="K12" s="173"/>
      <c r="L12" s="101"/>
      <c r="M12" s="246"/>
      <c r="N12" s="101"/>
      <c r="O12" s="90"/>
      <c r="P12" s="155"/>
      <c r="Q12" s="157"/>
    </row>
    <row r="13" spans="1:18" ht="48" customHeight="1">
      <c r="A13" s="679"/>
      <c r="B13" s="321"/>
      <c r="C13" s="718"/>
      <c r="D13" s="719"/>
      <c r="E13" s="84"/>
      <c r="F13" s="84"/>
      <c r="G13" s="151"/>
      <c r="H13" s="307"/>
      <c r="I13" s="157"/>
      <c r="J13" s="172"/>
      <c r="K13" s="173"/>
      <c r="L13" s="101"/>
      <c r="M13" s="246"/>
      <c r="N13" s="101"/>
      <c r="O13" s="90"/>
      <c r="P13" s="155"/>
      <c r="Q13" s="157"/>
      <c r="R13" s="16"/>
    </row>
    <row r="14" spans="1:18" ht="48" customHeight="1" thickBot="1">
      <c r="A14" s="679"/>
      <c r="B14" s="321"/>
      <c r="C14" s="730"/>
      <c r="D14" s="731"/>
      <c r="E14" s="309"/>
      <c r="F14" s="309"/>
      <c r="G14" s="310"/>
      <c r="H14" s="311"/>
      <c r="I14" s="157"/>
      <c r="J14" s="172"/>
      <c r="K14" s="177"/>
      <c r="L14" s="178"/>
      <c r="M14" s="246"/>
      <c r="N14" s="282"/>
      <c r="O14" s="90"/>
      <c r="P14" s="155"/>
      <c r="Q14" s="157"/>
      <c r="R14" s="16"/>
    </row>
    <row r="15" spans="1:18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316">
        <f>SUM(H9:H14)</f>
        <v>585946.19999999995</v>
      </c>
      <c r="I15" s="283"/>
      <c r="J15" s="88">
        <f>SUM(J9:J14)</f>
        <v>701125.32</v>
      </c>
      <c r="K15" s="237"/>
      <c r="L15" s="237">
        <f>SUM(L9:L14)</f>
        <v>688800</v>
      </c>
      <c r="M15" s="237"/>
      <c r="N15" s="88">
        <f>SUM(N9:N14)</f>
        <v>714168.25200000009</v>
      </c>
      <c r="O15" s="94"/>
      <c r="P15" s="93">
        <f>SUM(P9:P14)</f>
        <v>885425.45280000009</v>
      </c>
      <c r="Q15" s="95"/>
      <c r="R15" s="96">
        <f>SUM(R9:R14)</f>
        <v>786368.52</v>
      </c>
    </row>
    <row r="16" spans="1:18" ht="25.5" customHeight="1">
      <c r="A16" s="665"/>
      <c r="B16" s="669" t="s">
        <v>49</v>
      </c>
      <c r="C16" s="670"/>
      <c r="D16" s="670"/>
      <c r="E16" s="670"/>
      <c r="F16" s="670"/>
      <c r="G16" s="670"/>
      <c r="H16" s="37"/>
      <c r="I16" s="671">
        <f>I15*0.18</f>
        <v>0</v>
      </c>
      <c r="J16" s="672"/>
      <c r="K16" s="89"/>
      <c r="L16" s="89"/>
      <c r="M16" s="89"/>
      <c r="N16" s="89">
        <v>0</v>
      </c>
      <c r="O16" s="673">
        <f>0.18*O15</f>
        <v>0</v>
      </c>
      <c r="P16" s="672"/>
      <c r="Q16" s="77">
        <v>0</v>
      </c>
      <c r="R16" s="89"/>
    </row>
    <row r="17" spans="1:18" ht="22.5" customHeigh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40">
        <f>H15+H16</f>
        <v>585946.19999999995</v>
      </c>
      <c r="I17" s="732">
        <f>J15</f>
        <v>701125.32</v>
      </c>
      <c r="J17" s="676"/>
      <c r="K17" s="241"/>
      <c r="L17" s="242">
        <f>L15</f>
        <v>688800</v>
      </c>
      <c r="M17" s="241"/>
      <c r="N17" s="242">
        <f>N15</f>
        <v>714168.25200000009</v>
      </c>
      <c r="O17" s="677">
        <f>P15</f>
        <v>885425.45280000009</v>
      </c>
      <c r="P17" s="678"/>
      <c r="Q17" s="78"/>
      <c r="R17" s="78">
        <f>R15+R16</f>
        <v>786368.52</v>
      </c>
    </row>
    <row r="18" spans="1:18" ht="27" customHeight="1">
      <c r="A18" s="665"/>
      <c r="B18" s="647" t="s">
        <v>20</v>
      </c>
      <c r="C18" s="648"/>
      <c r="D18" s="648"/>
      <c r="E18" s="648"/>
      <c r="F18" s="648"/>
      <c r="G18" s="648"/>
      <c r="H18" s="733"/>
      <c r="I18" s="646"/>
      <c r="J18" s="645"/>
      <c r="K18" s="161"/>
      <c r="L18" s="147"/>
      <c r="M18" s="161"/>
      <c r="N18" s="161"/>
      <c r="O18" s="646"/>
      <c r="P18" s="645"/>
      <c r="Q18" s="634"/>
      <c r="R18" s="635"/>
    </row>
    <row r="19" spans="1:18" ht="23.25" customHeight="1">
      <c r="A19" s="665"/>
      <c r="B19" s="647"/>
      <c r="C19" s="648"/>
      <c r="D19" s="648"/>
      <c r="E19" s="648"/>
      <c r="F19" s="648"/>
      <c r="G19" s="648"/>
      <c r="H19" s="733"/>
      <c r="I19" s="49" t="s">
        <v>21</v>
      </c>
      <c r="J19" s="148">
        <v>1</v>
      </c>
      <c r="K19" s="147" t="s">
        <v>21</v>
      </c>
      <c r="L19" s="22">
        <v>2</v>
      </c>
      <c r="M19" s="49" t="s">
        <v>21</v>
      </c>
      <c r="N19" s="148">
        <v>3</v>
      </c>
      <c r="O19" s="149" t="s">
        <v>21</v>
      </c>
      <c r="P19" s="148">
        <v>5</v>
      </c>
      <c r="Q19" s="149" t="s">
        <v>21</v>
      </c>
      <c r="R19" s="148">
        <v>4</v>
      </c>
    </row>
    <row r="20" spans="1:18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733"/>
      <c r="I20" s="102" t="s">
        <v>23</v>
      </c>
      <c r="J20" s="103">
        <f>IF(OR($H$17=0,I17=0),"-",I17-$H$17)</f>
        <v>115179.12</v>
      </c>
      <c r="K20" s="102" t="s">
        <v>23</v>
      </c>
      <c r="L20" s="103">
        <f>IF(OR($H$17=0,L17=0),"-",L17-$H$17)</f>
        <v>102853.80000000005</v>
      </c>
      <c r="M20" s="102" t="s">
        <v>23</v>
      </c>
      <c r="N20" s="103">
        <f>IF(OR($H$17=0,N17=0),"-",N17-$H$17)</f>
        <v>128222.05200000014</v>
      </c>
      <c r="O20" s="102" t="s">
        <v>23</v>
      </c>
      <c r="P20" s="103">
        <f>IF(OR($H$17=0,O17=0),"-",O17-$H$17)</f>
        <v>299479.25280000013</v>
      </c>
      <c r="Q20" s="102" t="s">
        <v>23</v>
      </c>
      <c r="R20" s="103">
        <f>IF(OR($H$17=0,R17=0),"-",R17-$H$17)</f>
        <v>200422.32000000007</v>
      </c>
    </row>
    <row r="21" spans="1:18" ht="24.95" customHeight="1">
      <c r="A21" s="7"/>
      <c r="B21" s="650" t="s">
        <v>51</v>
      </c>
      <c r="C21" s="651"/>
      <c r="D21" s="651"/>
      <c r="E21" s="651"/>
      <c r="F21" s="651"/>
      <c r="G21" s="651"/>
      <c r="H21" s="727"/>
      <c r="I21" s="728">
        <f>J20*77</f>
        <v>8868792.2400000002</v>
      </c>
      <c r="J21" s="729"/>
      <c r="K21" s="655">
        <f>L20*77</f>
        <v>7919742.6000000034</v>
      </c>
      <c r="L21" s="656"/>
      <c r="M21" s="655">
        <f>N20*77</f>
        <v>9873098.0040000118</v>
      </c>
      <c r="N21" s="656"/>
      <c r="O21" s="657">
        <f>P20*77</f>
        <v>23059902.46560001</v>
      </c>
      <c r="P21" s="658"/>
      <c r="Q21" s="657">
        <f>R20*77</f>
        <v>15432518.640000004</v>
      </c>
      <c r="R21" s="658"/>
    </row>
    <row r="22" spans="1:18" ht="24.95" customHeight="1">
      <c r="A22" s="7"/>
      <c r="B22" s="621" t="s">
        <v>20</v>
      </c>
      <c r="C22" s="622"/>
      <c r="D22" s="622"/>
      <c r="E22" s="622"/>
      <c r="F22" s="622"/>
      <c r="G22" s="622"/>
      <c r="H22" s="713"/>
      <c r="I22" s="663" t="str">
        <f>IF(OR($H$17=0,I17=0),"",IF(I17&lt;=$H$17,$C$49,$C$50))</f>
        <v>Precio mayor al presupuesto</v>
      </c>
      <c r="J22" s="660"/>
      <c r="K22" s="661" t="str">
        <f>IF(OR($H$17=0,L17=0),"",IF(L17&lt;=$H$17,$C$49,$C$50))</f>
        <v>Precio mayor al presupuesto</v>
      </c>
      <c r="L22" s="709"/>
      <c r="M22" s="661" t="str">
        <f>IF(OR($H$17=0,N17=0),"",IF(N17&lt;=$H$17,$C$49,$C$50))</f>
        <v>Precio mayor al presupuesto</v>
      </c>
      <c r="N22" s="662"/>
      <c r="O22" s="663" t="str">
        <f>IF(OR($H$17=0,O17=0),"",IF(O17&lt;=$H$17,$C$49,$C$50))</f>
        <v>Precio mayor al presupuesto</v>
      </c>
      <c r="P22" s="660"/>
      <c r="Q22" s="663" t="str">
        <f>IF(OR($H$17=0,R17=0),"",IF(R17&lt;=$H$17,$C$49,$C$50))</f>
        <v>Precio mayor al presupuesto</v>
      </c>
      <c r="R22" s="660"/>
    </row>
    <row r="23" spans="1:18" ht="24.95" customHeight="1">
      <c r="A23" s="7"/>
      <c r="B23" s="621"/>
      <c r="C23" s="622"/>
      <c r="D23" s="622"/>
      <c r="E23" s="622"/>
      <c r="F23" s="622"/>
      <c r="G23" s="622"/>
      <c r="H23" s="713"/>
      <c r="I23" s="108" t="s">
        <v>21</v>
      </c>
      <c r="J23" s="109">
        <f>IF(I22=$C$49,$F$49,0)</f>
        <v>0</v>
      </c>
      <c r="K23" s="108" t="s">
        <v>21</v>
      </c>
      <c r="L23" s="109">
        <f>IF(K22=$C$49,$F$49,0)</f>
        <v>0</v>
      </c>
      <c r="M23" s="245" t="s">
        <v>21</v>
      </c>
      <c r="N23" s="245">
        <f>IF(M22=$C$49,$F$49,0)</f>
        <v>0</v>
      </c>
      <c r="O23" s="108" t="s">
        <v>21</v>
      </c>
      <c r="P23" s="109">
        <f>IF(O22=$C$49,$F$49,0)</f>
        <v>0</v>
      </c>
      <c r="Q23" s="108" t="s">
        <v>21</v>
      </c>
      <c r="R23" s="109">
        <f>IF(Q22=$C$49,$F$49,0)</f>
        <v>0</v>
      </c>
    </row>
    <row r="24" spans="1:18" ht="24.95" customHeight="1">
      <c r="A24" s="7"/>
      <c r="B24" s="621" t="s">
        <v>22</v>
      </c>
      <c r="C24" s="622"/>
      <c r="D24" s="622"/>
      <c r="E24" s="622"/>
      <c r="F24" s="622"/>
      <c r="G24" s="622"/>
      <c r="H24" s="713"/>
      <c r="I24" s="108" t="s">
        <v>23</v>
      </c>
      <c r="J24" s="101">
        <f>IF(OR($H$17=0,I17=0),"-",I17-$H$17)</f>
        <v>115179.12</v>
      </c>
      <c r="K24" s="108" t="s">
        <v>23</v>
      </c>
      <c r="L24" s="101">
        <f>IF(OR($H$17=0,L17=0),"-",L17-$H$17)</f>
        <v>102853.80000000005</v>
      </c>
      <c r="M24" s="246" t="s">
        <v>23</v>
      </c>
      <c r="N24" s="246">
        <f>IF(OR($H$17=0,N17=0),"-",N17-$H$17)</f>
        <v>128222.05200000014</v>
      </c>
      <c r="O24" s="108" t="s">
        <v>23</v>
      </c>
      <c r="P24" s="101">
        <f>IF(OR($H$17=0,O17=0),"-",O17-$H$17)</f>
        <v>299479.25280000013</v>
      </c>
      <c r="Q24" s="108" t="s">
        <v>23</v>
      </c>
      <c r="R24" s="101">
        <f>IF(OR($H$17=0,R17=0),"-",R17-$H$17)</f>
        <v>200422.32000000007</v>
      </c>
    </row>
    <row r="25" spans="1:18" ht="34.5" customHeight="1">
      <c r="A25" s="7"/>
      <c r="B25" s="621"/>
      <c r="C25" s="622"/>
      <c r="D25" s="622"/>
      <c r="E25" s="622"/>
      <c r="F25" s="622"/>
      <c r="G25" s="622"/>
      <c r="H25" s="713"/>
      <c r="I25" s="111" t="s">
        <v>21</v>
      </c>
      <c r="J25" s="50">
        <v>0</v>
      </c>
      <c r="K25" s="247" t="s">
        <v>21</v>
      </c>
      <c r="L25" s="247">
        <v>2</v>
      </c>
      <c r="M25" s="247" t="s">
        <v>21</v>
      </c>
      <c r="N25" s="247">
        <v>0</v>
      </c>
      <c r="O25" s="110" t="s">
        <v>21</v>
      </c>
      <c r="P25" s="50">
        <v>0</v>
      </c>
      <c r="Q25" s="105" t="s">
        <v>21</v>
      </c>
      <c r="R25" s="50">
        <v>0</v>
      </c>
    </row>
    <row r="26" spans="1:18" ht="34.5" customHeight="1">
      <c r="A26" s="7"/>
      <c r="B26" s="628" t="s">
        <v>53</v>
      </c>
      <c r="C26" s="629"/>
      <c r="D26" s="629"/>
      <c r="E26" s="629"/>
      <c r="F26" s="629"/>
      <c r="G26" s="629"/>
      <c r="H26" s="710"/>
      <c r="I26" s="642" t="str">
        <f>C56</f>
        <v>Por valuación de obra ejecutada con anticipo</v>
      </c>
      <c r="J26" s="643"/>
      <c r="K26" s="642" t="str">
        <f>C56</f>
        <v>Por valuación de obra ejecutada con anticipo</v>
      </c>
      <c r="L26" s="643"/>
      <c r="M26" s="642" t="str">
        <f>C56</f>
        <v>Por valuación de obra ejecutada con anticipo</v>
      </c>
      <c r="N26" s="643"/>
      <c r="O26" s="642" t="str">
        <f>C56</f>
        <v>Por valuación de obra ejecutada con anticipo</v>
      </c>
      <c r="P26" s="643"/>
      <c r="Q26" s="642" t="str">
        <f>C56</f>
        <v>Por valuación de obra ejecutada con anticipo</v>
      </c>
      <c r="R26" s="643"/>
    </row>
    <row r="27" spans="1:18" ht="24.95" customHeight="1">
      <c r="B27" s="638"/>
      <c r="C27" s="639"/>
      <c r="D27" s="639"/>
      <c r="E27" s="639"/>
      <c r="F27" s="639"/>
      <c r="G27" s="639"/>
      <c r="H27" s="711"/>
      <c r="I27" s="113" t="s">
        <v>21</v>
      </c>
      <c r="J27" s="114">
        <v>2</v>
      </c>
      <c r="K27" s="113" t="s">
        <v>21</v>
      </c>
      <c r="L27" s="114">
        <v>2</v>
      </c>
      <c r="M27" s="113" t="s">
        <v>21</v>
      </c>
      <c r="N27" s="114">
        <v>2</v>
      </c>
      <c r="O27" s="113" t="s">
        <v>21</v>
      </c>
      <c r="P27" s="114">
        <v>2</v>
      </c>
      <c r="Q27" s="113" t="s">
        <v>21</v>
      </c>
      <c r="R27" s="114">
        <v>2</v>
      </c>
    </row>
    <row r="28" spans="1:18" ht="24.95" customHeight="1">
      <c r="B28" s="638"/>
      <c r="C28" s="639"/>
      <c r="D28" s="639"/>
      <c r="E28" s="639"/>
      <c r="F28" s="639"/>
      <c r="G28" s="639"/>
      <c r="H28" s="711"/>
      <c r="I28" s="248" t="s">
        <v>110</v>
      </c>
      <c r="J28" s="249"/>
      <c r="K28" s="248" t="s">
        <v>110</v>
      </c>
      <c r="L28" s="249"/>
      <c r="M28" s="248" t="s">
        <v>110</v>
      </c>
      <c r="N28" s="249"/>
      <c r="O28" s="248" t="s">
        <v>110</v>
      </c>
      <c r="P28" s="250"/>
      <c r="Q28" s="248" t="s">
        <v>110</v>
      </c>
      <c r="R28" s="114"/>
    </row>
    <row r="29" spans="1:18" ht="24.95" customHeight="1">
      <c r="B29" s="638"/>
      <c r="C29" s="639"/>
      <c r="D29" s="639"/>
      <c r="E29" s="639"/>
      <c r="F29" s="639"/>
      <c r="G29" s="639"/>
      <c r="H29" s="711"/>
      <c r="I29" s="248" t="s">
        <v>111</v>
      </c>
      <c r="J29" s="249"/>
      <c r="K29" s="248" t="s">
        <v>111</v>
      </c>
      <c r="L29" s="249"/>
      <c r="M29" s="248" t="s">
        <v>111</v>
      </c>
      <c r="N29" s="251"/>
      <c r="O29" s="248" t="s">
        <v>111</v>
      </c>
      <c r="P29" s="250"/>
      <c r="Q29" s="248" t="s">
        <v>111</v>
      </c>
      <c r="R29" s="114"/>
    </row>
    <row r="30" spans="1:18" ht="24.95" customHeight="1">
      <c r="B30" s="638"/>
      <c r="C30" s="639"/>
      <c r="D30" s="639"/>
      <c r="E30" s="639"/>
      <c r="F30" s="639"/>
      <c r="G30" s="639"/>
      <c r="H30" s="711"/>
      <c r="I30" s="248" t="s">
        <v>112</v>
      </c>
      <c r="J30" s="249"/>
      <c r="K30" s="248" t="s">
        <v>112</v>
      </c>
      <c r="L30" s="249"/>
      <c r="M30" s="248" t="s">
        <v>112</v>
      </c>
      <c r="N30" s="251"/>
      <c r="O30" s="248" t="s">
        <v>112</v>
      </c>
      <c r="P30" s="250"/>
      <c r="Q30" s="248" t="s">
        <v>112</v>
      </c>
      <c r="R30" s="114"/>
    </row>
    <row r="31" spans="1:18" ht="24.95" customHeight="1">
      <c r="B31" s="640"/>
      <c r="C31" s="641"/>
      <c r="D31" s="641"/>
      <c r="E31" s="641"/>
      <c r="F31" s="641"/>
      <c r="G31" s="641"/>
      <c r="H31" s="712"/>
      <c r="I31" s="248" t="s">
        <v>113</v>
      </c>
      <c r="J31" s="249"/>
      <c r="K31" s="248" t="s">
        <v>113</v>
      </c>
      <c r="L31" s="249"/>
      <c r="M31" s="248" t="s">
        <v>113</v>
      </c>
      <c r="N31" s="251"/>
      <c r="O31" s="248" t="s">
        <v>113</v>
      </c>
      <c r="P31" s="250"/>
      <c r="Q31" s="248" t="s">
        <v>113</v>
      </c>
      <c r="R31" s="114"/>
    </row>
    <row r="32" spans="1:18" ht="24.95" customHeight="1">
      <c r="B32" s="621" t="s">
        <v>54</v>
      </c>
      <c r="C32" s="622"/>
      <c r="D32" s="622"/>
      <c r="E32" s="622"/>
      <c r="F32" s="622"/>
      <c r="G32" s="622"/>
      <c r="H32" s="713"/>
      <c r="I32" s="624" t="str">
        <f>C63</f>
        <v>A los 60 días</v>
      </c>
      <c r="J32" s="625"/>
      <c r="K32" s="624" t="str">
        <f>C63</f>
        <v>A los 60 días</v>
      </c>
      <c r="L32" s="625"/>
      <c r="M32" s="624" t="str">
        <f>C63</f>
        <v>A los 60 días</v>
      </c>
      <c r="N32" s="625"/>
      <c r="O32" s="624" t="str">
        <f>C63</f>
        <v>A los 60 días</v>
      </c>
      <c r="P32" s="625"/>
      <c r="Q32" s="624" t="str">
        <f>C63</f>
        <v>A los 60 días</v>
      </c>
      <c r="R32" s="625"/>
    </row>
    <row r="33" spans="2:22" ht="47.25" customHeight="1">
      <c r="B33" s="621"/>
      <c r="C33" s="622"/>
      <c r="D33" s="622"/>
      <c r="E33" s="622"/>
      <c r="F33" s="622"/>
      <c r="G33" s="622"/>
      <c r="H33" s="713"/>
      <c r="I33" s="106" t="s">
        <v>21</v>
      </c>
      <c r="J33" s="112">
        <f>IF(I32=$C$60,$F$60,IF(I32=$C$61,$F$61,IF(I32=$C$62,$F$62,IF(I32=$C$63,F63,0))))</f>
        <v>0</v>
      </c>
      <c r="K33" s="106" t="s">
        <v>21</v>
      </c>
      <c r="L33" s="112">
        <f>IF(K32=$C$60,$F$60,IF(K32=$C$61,$F$61,IF(K32=$C$62,$F$62,IF(K32=$C$63,H63,0))))</f>
        <v>0</v>
      </c>
      <c r="M33" s="106" t="s">
        <v>21</v>
      </c>
      <c r="N33" s="247">
        <f>IF(M32=$C$60,$F$60,IF(M32=$C$61,$F$61,IF(M32=$C$62,$F$62,IF(M32=$C$63,H63,0))))</f>
        <v>0</v>
      </c>
      <c r="O33" s="115" t="s">
        <v>21</v>
      </c>
      <c r="P33" s="116">
        <f t="shared" ref="P33" si="3">IF(O32=$C$60,$F$60,IF(O32=$C$61,$F$61,IF(O32=$C$62,$F$62,0)))</f>
        <v>0</v>
      </c>
      <c r="Q33" s="115" t="s">
        <v>21</v>
      </c>
      <c r="R33" s="116">
        <f t="shared" ref="R33" si="4">IF(Q32=$C$60,$F$60,IF(Q32=$C$61,$F$61,IF(Q32=$C$62,$F$62,0)))</f>
        <v>0</v>
      </c>
    </row>
    <row r="34" spans="2:22" ht="33.75" customHeight="1">
      <c r="B34" s="621" t="s">
        <v>56</v>
      </c>
      <c r="C34" s="622"/>
      <c r="D34" s="622"/>
      <c r="E34" s="622"/>
      <c r="F34" s="622"/>
      <c r="G34" s="622"/>
      <c r="H34" s="713"/>
      <c r="I34" s="626" t="s">
        <v>45</v>
      </c>
      <c r="J34" s="627"/>
      <c r="K34" s="626" t="s">
        <v>45</v>
      </c>
      <c r="L34" s="627"/>
      <c r="M34" s="626" t="s">
        <v>45</v>
      </c>
      <c r="N34" s="627"/>
      <c r="O34" s="626" t="s">
        <v>45</v>
      </c>
      <c r="P34" s="627"/>
      <c r="Q34" s="626" t="s">
        <v>45</v>
      </c>
      <c r="R34" s="627"/>
    </row>
    <row r="35" spans="2:22" ht="30" customHeight="1">
      <c r="B35" s="621"/>
      <c r="C35" s="622"/>
      <c r="D35" s="622"/>
      <c r="E35" s="622"/>
      <c r="F35" s="622"/>
      <c r="G35" s="622"/>
      <c r="H35" s="713"/>
      <c r="I35" s="51" t="s">
        <v>21</v>
      </c>
      <c r="J35" s="118">
        <f>IF(I34=$C$65,$F$65,0)</f>
        <v>2</v>
      </c>
      <c r="K35" s="51" t="s">
        <v>21</v>
      </c>
      <c r="L35" s="118">
        <f>IF(K34=$C$65,$F$65,0)</f>
        <v>2</v>
      </c>
      <c r="M35" s="253" t="s">
        <v>21</v>
      </c>
      <c r="N35" s="253">
        <f>IF(M34=$C$65,$F$65,0)</f>
        <v>2</v>
      </c>
      <c r="O35" s="51" t="s">
        <v>21</v>
      </c>
      <c r="P35" s="118">
        <f t="shared" ref="P35" si="5">IF(O34=$C$65,$F$65,0)</f>
        <v>2</v>
      </c>
      <c r="Q35" s="51" t="s">
        <v>21</v>
      </c>
      <c r="R35" s="118">
        <f t="shared" ref="R35" si="6">IF(Q34=$C$65,$F$65,0)</f>
        <v>2</v>
      </c>
    </row>
    <row r="36" spans="2:22" ht="15.75" thickBot="1">
      <c r="B36" s="628" t="s">
        <v>57</v>
      </c>
      <c r="C36" s="629"/>
      <c r="D36" s="629"/>
      <c r="E36" s="629"/>
      <c r="F36" s="629"/>
      <c r="G36" s="629"/>
      <c r="H36" s="710"/>
      <c r="I36" s="644" t="str">
        <f>C68</f>
        <v>Excelente</v>
      </c>
      <c r="J36" s="645"/>
      <c r="K36" s="644" t="str">
        <f>C68</f>
        <v>Excelente</v>
      </c>
      <c r="L36" s="645"/>
      <c r="M36" s="644" t="str">
        <f>C68</f>
        <v>Excelente</v>
      </c>
      <c r="N36" s="645"/>
      <c r="O36" s="644" t="str">
        <f>C68</f>
        <v>Excelente</v>
      </c>
      <c r="P36" s="645"/>
      <c r="Q36" s="644" t="str">
        <f>C68</f>
        <v>Excelente</v>
      </c>
      <c r="R36" s="645"/>
    </row>
    <row r="37" spans="2:22" ht="24.95" customHeight="1" thickBot="1">
      <c r="B37" s="630"/>
      <c r="C37" s="631"/>
      <c r="D37" s="631"/>
      <c r="E37" s="631"/>
      <c r="F37" s="631"/>
      <c r="G37" s="631"/>
      <c r="H37" s="631"/>
      <c r="I37" s="517" t="s">
        <v>21</v>
      </c>
      <c r="J37" s="520">
        <f>IF(I36=$C$68,$F$68,IF(I36=$C$69,$F$69,0))</f>
        <v>2</v>
      </c>
      <c r="K37" s="517" t="s">
        <v>21</v>
      </c>
      <c r="L37" s="520">
        <f>IF(K36=$C$68,$F$68,IF(K36=$C$69,$F$69,0))</f>
        <v>2</v>
      </c>
      <c r="M37" s="524" t="s">
        <v>21</v>
      </c>
      <c r="N37" s="520">
        <f>IF(M36=$C$68,$F$68,IF(M36=$C$69,$F$69,0))</f>
        <v>2</v>
      </c>
      <c r="O37" s="530" t="s">
        <v>21</v>
      </c>
      <c r="P37" s="520">
        <f>IF(O36=$C$68,$F$68,IF(O36=$C$69,$F$69,0))</f>
        <v>2</v>
      </c>
      <c r="Q37" s="530" t="s">
        <v>21</v>
      </c>
      <c r="R37" s="534">
        <f>IF(Q36=$C$68,$F$68,IF(Q36=$C$69,$F$69,0))</f>
        <v>2</v>
      </c>
    </row>
    <row r="38" spans="2:22" ht="24.95" customHeight="1" thickBot="1">
      <c r="B38" s="119"/>
      <c r="C38" s="120"/>
      <c r="D38" s="120"/>
      <c r="E38" s="120"/>
      <c r="F38" s="120"/>
      <c r="G38" s="120"/>
      <c r="H38" s="120"/>
      <c r="I38" s="518"/>
      <c r="J38" s="521"/>
      <c r="K38" s="518"/>
      <c r="L38" s="521"/>
      <c r="M38" s="525"/>
      <c r="N38" s="521"/>
      <c r="O38" s="289"/>
      <c r="P38" s="521"/>
      <c r="Q38" s="289"/>
      <c r="R38" s="535"/>
    </row>
    <row r="39" spans="2:22" ht="24.95" customHeight="1" thickBot="1">
      <c r="B39" s="119"/>
      <c r="C39" s="120"/>
      <c r="D39" s="120"/>
      <c r="E39" s="120"/>
      <c r="F39" s="120"/>
      <c r="G39" s="120"/>
      <c r="H39" s="120"/>
      <c r="I39" s="519"/>
      <c r="J39" s="522"/>
      <c r="K39" s="519"/>
      <c r="L39" s="522"/>
      <c r="M39" s="526"/>
      <c r="N39" s="522"/>
      <c r="O39" s="531"/>
      <c r="P39" s="522"/>
      <c r="Q39" s="531"/>
      <c r="R39" s="536"/>
    </row>
    <row r="40" spans="2:22" ht="24.95" customHeight="1" thickBot="1">
      <c r="B40" s="636" t="s">
        <v>62</v>
      </c>
      <c r="C40" s="637"/>
      <c r="D40" s="637"/>
      <c r="E40" s="637"/>
      <c r="F40" s="637"/>
      <c r="G40" s="637"/>
      <c r="H40" s="720"/>
      <c r="I40" s="515"/>
      <c r="J40" s="516">
        <f>J23+J25+J27+J33+J35+J37</f>
        <v>6</v>
      </c>
      <c r="K40" s="523"/>
      <c r="L40" s="523">
        <f>L23+L25+L27+L33+L35+L37</f>
        <v>8</v>
      </c>
      <c r="M40" s="523"/>
      <c r="N40" s="523">
        <f>N23+N25+N27+N33+N35+N37</f>
        <v>6</v>
      </c>
      <c r="O40" s="528"/>
      <c r="P40" s="529">
        <f>P23+P25+P27+P33+P35+P37</f>
        <v>6</v>
      </c>
      <c r="Q40" s="532"/>
      <c r="R40" s="533">
        <f>R23+R25+R27+R33+R35+R37</f>
        <v>6</v>
      </c>
    </row>
    <row r="41" spans="2:22" ht="24.95" customHeight="1" thickBot="1">
      <c r="B41" s="620" t="s">
        <v>61</v>
      </c>
      <c r="C41" s="620"/>
      <c r="D41" s="620"/>
      <c r="E41" s="620"/>
      <c r="F41" s="620"/>
      <c r="G41" s="620"/>
      <c r="H41" s="620"/>
      <c r="I41" s="131"/>
      <c r="J41" s="128">
        <v>10</v>
      </c>
      <c r="K41" s="128"/>
      <c r="L41" s="128">
        <v>10</v>
      </c>
      <c r="M41" s="128"/>
      <c r="N41" s="128">
        <v>10</v>
      </c>
      <c r="O41" s="131"/>
      <c r="P41" s="128">
        <v>10</v>
      </c>
      <c r="Q41" s="138"/>
      <c r="R41" s="141">
        <v>10</v>
      </c>
    </row>
    <row r="42" spans="2:22" ht="24.95" customHeight="1" thickBot="1">
      <c r="B42" s="616" t="s">
        <v>63</v>
      </c>
      <c r="C42" s="616"/>
      <c r="D42" s="616"/>
      <c r="E42" s="616"/>
      <c r="F42" s="616"/>
      <c r="G42" s="616"/>
      <c r="H42" s="616"/>
      <c r="I42" s="107"/>
      <c r="J42" s="145">
        <f>J40+J41</f>
        <v>16</v>
      </c>
      <c r="K42" s="502"/>
      <c r="L42" s="502">
        <f>L40+L41</f>
        <v>18</v>
      </c>
      <c r="M42" s="296"/>
      <c r="N42" s="145">
        <f>N40+N41</f>
        <v>16</v>
      </c>
      <c r="O42" s="24"/>
      <c r="P42" s="145">
        <f>P40+P41</f>
        <v>16</v>
      </c>
      <c r="Q42" s="146"/>
      <c r="R42" s="144">
        <f>R40+R41</f>
        <v>16</v>
      </c>
    </row>
    <row r="43" spans="2:22" ht="24.95" customHeight="1">
      <c r="B43" s="69"/>
      <c r="C43" s="70" t="s">
        <v>24</v>
      </c>
      <c r="D43" s="71"/>
      <c r="E43" s="70" t="s">
        <v>25</v>
      </c>
      <c r="F43" s="71"/>
      <c r="G43" s="69"/>
      <c r="H43" s="69"/>
      <c r="I43" s="72" t="str">
        <f>IF($H$17&gt;(3000*$I$48),"COORDINADOR DE PROYECTOS","")</f>
        <v>COORDINADOR DE PROYECTOS</v>
      </c>
      <c r="J43" s="69"/>
      <c r="K43" s="69"/>
      <c r="L43" s="69"/>
      <c r="M43" s="69"/>
      <c r="N43" s="69"/>
      <c r="O43" s="69"/>
      <c r="P43" s="73" t="str">
        <f>IF($H$17&gt;(7500*$I$48),"GERENTE TÉCNICO","")</f>
        <v>GERENTE TÉCNICO</v>
      </c>
    </row>
    <row r="44" spans="2:22" ht="24.95" customHeight="1">
      <c r="B44" s="26"/>
      <c r="C44" s="22"/>
      <c r="D44" s="26"/>
      <c r="E44" s="48" t="s">
        <v>4</v>
      </c>
      <c r="F44" s="26"/>
      <c r="G44" s="26"/>
      <c r="H44" s="26"/>
      <c r="I44" s="26" t="str">
        <f>IF(I43&lt;&gt;"","FECHA:","")</f>
        <v>FECHA:</v>
      </c>
      <c r="J44" s="26"/>
      <c r="K44" s="26"/>
      <c r="L44" s="26"/>
      <c r="M44" s="26"/>
      <c r="N44" s="26"/>
      <c r="O44" s="26"/>
      <c r="P44" s="48" t="str">
        <f>IF(P43&lt;&gt;"","FECHA:","")</f>
        <v>FECHA:</v>
      </c>
      <c r="R44" s="73"/>
    </row>
    <row r="45" spans="2:22" ht="24.95" customHeight="1">
      <c r="B45" s="47"/>
      <c r="C45" s="47"/>
      <c r="H45" s="104"/>
      <c r="P45" s="100"/>
    </row>
    <row r="46" spans="2:22" ht="24.95" customHeight="1" thickBot="1">
      <c r="Q46" s="91"/>
      <c r="V46" s="264"/>
    </row>
    <row r="47" spans="2:22" ht="24.95" customHeight="1" thickBot="1">
      <c r="C47" s="617" t="s">
        <v>26</v>
      </c>
      <c r="D47" s="618"/>
      <c r="E47" s="619"/>
      <c r="F47" s="13" t="s">
        <v>27</v>
      </c>
      <c r="H47" s="65" t="s">
        <v>28</v>
      </c>
      <c r="I47" s="66">
        <f ca="1">TODAY()</f>
        <v>46233</v>
      </c>
      <c r="J47" s="734"/>
      <c r="K47" s="265"/>
      <c r="L47" s="265"/>
      <c r="M47" s="6"/>
      <c r="N47" s="6"/>
      <c r="O47" s="14"/>
      <c r="P47"/>
      <c r="Q47" s="297" t="s">
        <v>123</v>
      </c>
      <c r="R47" s="721" t="s">
        <v>137</v>
      </c>
      <c r="S47" s="722"/>
      <c r="V47" s="263"/>
    </row>
    <row r="48" spans="2:22" ht="24.95" customHeight="1">
      <c r="C48" s="610" t="s">
        <v>29</v>
      </c>
      <c r="D48" s="611"/>
      <c r="E48" s="611"/>
      <c r="F48" s="52"/>
      <c r="H48" s="67" t="s">
        <v>30</v>
      </c>
      <c r="I48" s="68"/>
      <c r="J48" s="734"/>
      <c r="K48" s="265"/>
      <c r="L48" s="265"/>
      <c r="Q48" s="264"/>
      <c r="R48" s="723"/>
      <c r="S48" s="724"/>
      <c r="V48" s="264"/>
    </row>
    <row r="49" spans="1:22" ht="24.95" customHeight="1">
      <c r="B49" s="7"/>
      <c r="C49" s="53" t="s">
        <v>31</v>
      </c>
      <c r="D49" s="54"/>
      <c r="E49" s="55"/>
      <c r="F49" s="56">
        <v>2</v>
      </c>
      <c r="Q49" s="264"/>
      <c r="R49" s="723"/>
      <c r="S49" s="724"/>
      <c r="V49" s="264"/>
    </row>
    <row r="50" spans="1:22" ht="24.95" customHeight="1">
      <c r="B50" s="7"/>
      <c r="C50" s="57" t="s">
        <v>32</v>
      </c>
      <c r="D50" s="58"/>
      <c r="E50" s="59"/>
      <c r="F50" s="60">
        <v>0</v>
      </c>
      <c r="H50" s="15"/>
      <c r="I50" s="80"/>
      <c r="J50" s="79"/>
      <c r="K50" s="79"/>
      <c r="L50" s="79"/>
      <c r="M50" s="79"/>
      <c r="N50" s="79"/>
      <c r="Q50" s="264"/>
      <c r="R50" s="723"/>
      <c r="S50" s="724"/>
      <c r="V50" s="264"/>
    </row>
    <row r="51" spans="1:22" ht="24.95" customHeight="1">
      <c r="C51" s="610" t="s">
        <v>33</v>
      </c>
      <c r="D51" s="611"/>
      <c r="E51" s="611"/>
      <c r="F51" s="52"/>
      <c r="I51" s="80"/>
      <c r="J51" s="79"/>
      <c r="K51" s="79"/>
      <c r="L51" s="79"/>
      <c r="M51" s="79"/>
      <c r="N51" s="79"/>
      <c r="Q51" s="264"/>
      <c r="R51" s="723"/>
      <c r="S51" s="724"/>
      <c r="V51" s="264"/>
    </row>
    <row r="52" spans="1:22" ht="24.95" customHeight="1">
      <c r="B52" s="7"/>
      <c r="C52" s="53" t="s">
        <v>34</v>
      </c>
      <c r="D52" s="54"/>
      <c r="E52" s="55"/>
      <c r="F52" s="56">
        <v>2</v>
      </c>
      <c r="Q52" s="264"/>
      <c r="R52" s="723"/>
      <c r="S52" s="724"/>
      <c r="V52" s="264"/>
    </row>
    <row r="53" spans="1:22" ht="24.95" customHeight="1" thickBot="1">
      <c r="B53" s="7"/>
      <c r="C53" s="57" t="s">
        <v>35</v>
      </c>
      <c r="D53" s="58"/>
      <c r="E53" s="59"/>
      <c r="F53" s="60">
        <v>0</v>
      </c>
      <c r="Q53" s="264"/>
      <c r="R53" s="725"/>
      <c r="S53" s="726"/>
      <c r="V53" s="264"/>
    </row>
    <row r="54" spans="1:22" ht="24.95" customHeight="1">
      <c r="A54" s="6"/>
      <c r="C54" s="610" t="s">
        <v>36</v>
      </c>
      <c r="D54" s="611"/>
      <c r="E54" s="611"/>
      <c r="F54" s="52"/>
    </row>
    <row r="55" spans="1:22" ht="24.95" customHeight="1">
      <c r="C55" s="57" t="s">
        <v>37</v>
      </c>
      <c r="D55" s="58"/>
      <c r="E55" s="59"/>
      <c r="F55" s="60">
        <v>3</v>
      </c>
      <c r="H55" s="6"/>
      <c r="R55" s="263"/>
      <c r="S55" s="264"/>
    </row>
    <row r="56" spans="1:22" ht="24.95" customHeight="1">
      <c r="C56" s="57" t="s">
        <v>38</v>
      </c>
      <c r="D56" s="58"/>
      <c r="E56" s="59"/>
      <c r="F56" s="60">
        <v>2</v>
      </c>
      <c r="H56" s="6"/>
      <c r="R56" s="264"/>
      <c r="S56" s="264"/>
    </row>
    <row r="57" spans="1:22" ht="24.95" customHeight="1">
      <c r="C57" s="57" t="s">
        <v>39</v>
      </c>
      <c r="D57" s="58"/>
      <c r="E57" s="59"/>
      <c r="F57" s="60">
        <v>1</v>
      </c>
      <c r="H57" s="6"/>
      <c r="R57" s="264"/>
      <c r="S57" s="264"/>
    </row>
    <row r="58" spans="1:22" ht="24.95" customHeight="1">
      <c r="C58" s="57" t="s">
        <v>73</v>
      </c>
      <c r="D58" s="58"/>
      <c r="E58" s="59"/>
      <c r="F58" s="60">
        <v>0</v>
      </c>
      <c r="H58" s="6"/>
      <c r="R58" s="264"/>
      <c r="S58" s="264"/>
    </row>
    <row r="59" spans="1:22" ht="24.95" customHeight="1">
      <c r="C59" s="610" t="s">
        <v>40</v>
      </c>
      <c r="D59" s="611"/>
      <c r="E59" s="611"/>
      <c r="F59" s="52"/>
      <c r="R59" s="264"/>
      <c r="S59" s="264"/>
    </row>
    <row r="60" spans="1:22" ht="24.95" customHeight="1">
      <c r="C60" s="61" t="s">
        <v>41</v>
      </c>
      <c r="D60" s="58"/>
      <c r="E60" s="59"/>
      <c r="F60" s="60">
        <v>3</v>
      </c>
      <c r="R60" s="264"/>
      <c r="S60" s="264"/>
    </row>
    <row r="61" spans="1:22" ht="24.95" customHeight="1">
      <c r="C61" s="61" t="s">
        <v>42</v>
      </c>
      <c r="D61" s="58"/>
      <c r="E61" s="59"/>
      <c r="F61" s="60">
        <v>2</v>
      </c>
      <c r="R61" s="264"/>
      <c r="S61" s="264"/>
    </row>
    <row r="62" spans="1:22" ht="24.95" customHeight="1">
      <c r="C62" s="61" t="s">
        <v>43</v>
      </c>
      <c r="D62" s="58"/>
      <c r="E62" s="59"/>
      <c r="F62" s="60">
        <v>1</v>
      </c>
      <c r="R62" s="264"/>
      <c r="S62" s="264"/>
    </row>
    <row r="63" spans="1:22" ht="24.95" customHeight="1">
      <c r="C63" s="61" t="s">
        <v>55</v>
      </c>
      <c r="D63" s="58"/>
      <c r="E63" s="58"/>
      <c r="F63" s="52">
        <v>0</v>
      </c>
      <c r="R63" s="264"/>
      <c r="S63" s="264"/>
    </row>
    <row r="64" spans="1:22" ht="24.95" customHeight="1">
      <c r="C64" s="610" t="s">
        <v>44</v>
      </c>
      <c r="D64" s="611"/>
      <c r="E64" s="611"/>
      <c r="F64" s="52"/>
      <c r="R64" s="264"/>
      <c r="S64" s="264"/>
    </row>
    <row r="65" spans="2:8" ht="24.95" customHeight="1">
      <c r="C65" s="57" t="s">
        <v>45</v>
      </c>
      <c r="D65" s="58"/>
      <c r="E65" s="59"/>
      <c r="F65" s="60">
        <v>2</v>
      </c>
    </row>
    <row r="66" spans="2:8" ht="24.95" customHeight="1">
      <c r="C66" s="57" t="s">
        <v>46</v>
      </c>
      <c r="D66" s="58"/>
      <c r="E66" s="59"/>
      <c r="F66" s="60">
        <v>0</v>
      </c>
    </row>
    <row r="67" spans="2:8" ht="24.95" customHeight="1">
      <c r="C67" s="610" t="s">
        <v>58</v>
      </c>
      <c r="D67" s="611"/>
      <c r="E67" s="611"/>
      <c r="F67" s="612"/>
    </row>
    <row r="68" spans="2:8" ht="24.95" customHeight="1">
      <c r="C68" s="57" t="s">
        <v>59</v>
      </c>
      <c r="D68" s="58"/>
      <c r="E68" s="59"/>
      <c r="F68" s="60">
        <v>2</v>
      </c>
    </row>
    <row r="69" spans="2:8" ht="24.95" customHeight="1">
      <c r="C69" s="57" t="s">
        <v>60</v>
      </c>
      <c r="D69" s="58"/>
      <c r="E69" s="59"/>
      <c r="F69" s="60">
        <v>0</v>
      </c>
    </row>
    <row r="70" spans="2:8" ht="24.95" customHeight="1">
      <c r="C70" s="613" t="s">
        <v>47</v>
      </c>
      <c r="D70" s="614"/>
      <c r="E70" s="615"/>
      <c r="F70" s="62" t="s">
        <v>48</v>
      </c>
    </row>
    <row r="71" spans="2:8" ht="24.95" customHeight="1">
      <c r="B71" s="6"/>
      <c r="C71" s="63"/>
      <c r="D71" s="63"/>
      <c r="E71" s="63" t="s">
        <v>15</v>
      </c>
      <c r="F71" s="64">
        <f>10+F49+F52+F55+F60+F65+F68</f>
        <v>24</v>
      </c>
      <c r="H71" s="6"/>
    </row>
    <row r="72" spans="2:8" ht="20.100000000000001" customHeight="1"/>
  </sheetData>
  <mergeCells count="86">
    <mergeCell ref="Q18:R18"/>
    <mergeCell ref="B5:C5"/>
    <mergeCell ref="D5:G5"/>
    <mergeCell ref="J47:J48"/>
    <mergeCell ref="A1:R1"/>
    <mergeCell ref="B3:C3"/>
    <mergeCell ref="D3:G3"/>
    <mergeCell ref="B4:C4"/>
    <mergeCell ref="D4:G4"/>
    <mergeCell ref="I6:R6"/>
    <mergeCell ref="B7:H7"/>
    <mergeCell ref="I7:J7"/>
    <mergeCell ref="M7:N7"/>
    <mergeCell ref="O7:P7"/>
    <mergeCell ref="Q7:R7"/>
    <mergeCell ref="C8:D8"/>
    <mergeCell ref="C14:D14"/>
    <mergeCell ref="A17:A20"/>
    <mergeCell ref="B17:G17"/>
    <mergeCell ref="I17:J17"/>
    <mergeCell ref="O17:P17"/>
    <mergeCell ref="B18:H19"/>
    <mergeCell ref="A15:A16"/>
    <mergeCell ref="B15:G15"/>
    <mergeCell ref="B16:G16"/>
    <mergeCell ref="I16:J16"/>
    <mergeCell ref="O16:P16"/>
    <mergeCell ref="O18:P18"/>
    <mergeCell ref="A9:A14"/>
    <mergeCell ref="B20:H20"/>
    <mergeCell ref="B21:H21"/>
    <mergeCell ref="I21:J21"/>
    <mergeCell ref="M21:N21"/>
    <mergeCell ref="O21:P21"/>
    <mergeCell ref="Q21:R21"/>
    <mergeCell ref="B32:H33"/>
    <mergeCell ref="I32:J32"/>
    <mergeCell ref="M32:N32"/>
    <mergeCell ref="O32:P32"/>
    <mergeCell ref="Q32:R32"/>
    <mergeCell ref="M22:N22"/>
    <mergeCell ref="O22:P22"/>
    <mergeCell ref="Q22:R22"/>
    <mergeCell ref="K32:L32"/>
    <mergeCell ref="R47:S53"/>
    <mergeCell ref="O34:P34"/>
    <mergeCell ref="Q34:R34"/>
    <mergeCell ref="O36:P36"/>
    <mergeCell ref="Q36:R36"/>
    <mergeCell ref="M26:N26"/>
    <mergeCell ref="O26:P26"/>
    <mergeCell ref="Q26:R26"/>
    <mergeCell ref="B34:H35"/>
    <mergeCell ref="I34:J34"/>
    <mergeCell ref="M34:N34"/>
    <mergeCell ref="B36:H37"/>
    <mergeCell ref="I36:J36"/>
    <mergeCell ref="M36:N36"/>
    <mergeCell ref="K34:L34"/>
    <mergeCell ref="K36:L36"/>
    <mergeCell ref="C59:E59"/>
    <mergeCell ref="C64:E64"/>
    <mergeCell ref="C67:F67"/>
    <mergeCell ref="C70:E70"/>
    <mergeCell ref="B40:H40"/>
    <mergeCell ref="B41:H41"/>
    <mergeCell ref="B42:H42"/>
    <mergeCell ref="C47:E47"/>
    <mergeCell ref="C48:E48"/>
    <mergeCell ref="C51:E51"/>
    <mergeCell ref="K7:L7"/>
    <mergeCell ref="K21:L21"/>
    <mergeCell ref="K22:L22"/>
    <mergeCell ref="K26:L26"/>
    <mergeCell ref="C54:E54"/>
    <mergeCell ref="B26:H31"/>
    <mergeCell ref="I26:J26"/>
    <mergeCell ref="B24:H25"/>
    <mergeCell ref="I18:J18"/>
    <mergeCell ref="B22:H23"/>
    <mergeCell ref="I22:J22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A115-237C-4B97-AD56-05282A74AE84}">
  <sheetPr>
    <tabColor theme="0" tint="-4.9989318521683403E-2"/>
  </sheetPr>
  <dimension ref="A1:T72"/>
  <sheetViews>
    <sheetView topLeftCell="D3" zoomScale="50" zoomScaleNormal="50" workbookViewId="0">
      <pane ySplit="5" topLeftCell="A8" activePane="bottomLeft" state="frozen"/>
      <selection activeCell="G3" sqref="G3"/>
      <selection pane="bottomLeft" activeCell="R12" sqref="R12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93.62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6" width="25.625" style="5" customWidth="1"/>
    <col min="17" max="17" width="22.5" style="5" customWidth="1"/>
    <col min="18" max="18" width="25.625" style="5" customWidth="1"/>
    <col min="19" max="19" width="11.5" style="5"/>
    <col min="20" max="20" width="17.625" style="5" bestFit="1" customWidth="1"/>
    <col min="21" max="16384" width="11.5" style="5"/>
  </cols>
  <sheetData>
    <row r="1" spans="1:20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</row>
    <row r="2" spans="1:20" ht="20.25" customHeight="1" thickBot="1"/>
    <row r="3" spans="1:20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2"/>
      <c r="L3" s="22"/>
      <c r="M3" s="21" t="s">
        <v>5</v>
      </c>
      <c r="N3" s="23">
        <v>1</v>
      </c>
      <c r="O3" s="24"/>
      <c r="P3" s="24"/>
      <c r="Q3" s="24"/>
      <c r="R3" s="24"/>
    </row>
    <row r="4" spans="1:20" ht="63" customHeight="1">
      <c r="A4" s="25"/>
      <c r="B4" s="690" t="s">
        <v>6</v>
      </c>
      <c r="C4" s="690"/>
      <c r="D4" s="691" t="s">
        <v>125</v>
      </c>
      <c r="E4" s="691"/>
      <c r="F4" s="691"/>
      <c r="G4" s="691"/>
      <c r="H4" s="22"/>
      <c r="I4" s="26"/>
      <c r="J4" s="81"/>
      <c r="K4" s="81"/>
      <c r="L4" s="81"/>
      <c r="M4" s="22"/>
      <c r="N4" s="22"/>
      <c r="O4" s="82"/>
      <c r="P4" s="204">
        <f>(3*850)/2301</f>
        <v>1.1082138200782268</v>
      </c>
      <c r="Q4" s="204">
        <f>22500/2301</f>
        <v>9.7783572359843554</v>
      </c>
      <c r="R4" s="204">
        <f>2500/2301</f>
        <v>1.086484137331595</v>
      </c>
    </row>
    <row r="5" spans="1:20" ht="18" customHeigh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20" ht="18" customHeight="1" thickBot="1">
      <c r="A6" s="6"/>
      <c r="B6" s="6"/>
      <c r="C6" s="6"/>
      <c r="D6" s="6"/>
      <c r="E6" s="6"/>
      <c r="F6" s="6"/>
      <c r="G6" s="6"/>
      <c r="H6" s="6"/>
      <c r="I6" s="693"/>
      <c r="J6" s="694"/>
      <c r="K6" s="694"/>
      <c r="L6" s="694"/>
      <c r="M6" s="694"/>
      <c r="N6" s="694"/>
      <c r="O6" s="694"/>
      <c r="P6" s="694"/>
      <c r="Q6" s="694"/>
      <c r="R6" s="694"/>
    </row>
    <row r="7" spans="1:20" ht="62.25" customHeight="1" thickBot="1">
      <c r="B7" s="695" t="s">
        <v>8</v>
      </c>
      <c r="C7" s="696"/>
      <c r="D7" s="696"/>
      <c r="E7" s="696"/>
      <c r="F7" s="696"/>
      <c r="G7" s="696"/>
      <c r="H7" s="735"/>
      <c r="I7" s="697" t="s">
        <v>126</v>
      </c>
      <c r="J7" s="698"/>
      <c r="K7" s="697" t="s">
        <v>127</v>
      </c>
      <c r="L7" s="698"/>
      <c r="M7" s="697" t="s">
        <v>128</v>
      </c>
      <c r="N7" s="698"/>
      <c r="O7" s="697" t="s">
        <v>129</v>
      </c>
      <c r="P7" s="698"/>
      <c r="Q7" s="697" t="s">
        <v>52</v>
      </c>
      <c r="R7" s="698"/>
    </row>
    <row r="8" spans="1:20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9" t="s">
        <v>15</v>
      </c>
      <c r="I8" s="18" t="s">
        <v>14</v>
      </c>
      <c r="J8" s="19" t="s">
        <v>15</v>
      </c>
      <c r="K8" s="18" t="s">
        <v>14</v>
      </c>
      <c r="L8" s="19" t="s">
        <v>15</v>
      </c>
      <c r="M8" s="18" t="s">
        <v>14</v>
      </c>
      <c r="N8" s="19" t="s">
        <v>15</v>
      </c>
      <c r="O8" s="29" t="s">
        <v>14</v>
      </c>
      <c r="P8" s="19" t="s">
        <v>15</v>
      </c>
      <c r="Q8" s="18" t="s">
        <v>14</v>
      </c>
      <c r="R8" s="19" t="s">
        <v>15</v>
      </c>
    </row>
    <row r="9" spans="1:20" ht="45.75" customHeight="1">
      <c r="A9" s="679"/>
      <c r="B9" s="83">
        <v>1</v>
      </c>
      <c r="C9" s="745" t="s">
        <v>130</v>
      </c>
      <c r="D9" s="746"/>
      <c r="E9" s="298" t="s">
        <v>131</v>
      </c>
      <c r="F9" s="299">
        <v>6</v>
      </c>
      <c r="G9" s="300">
        <v>120006.47</v>
      </c>
      <c r="H9" s="301">
        <f>G9*F9</f>
        <v>720038.82000000007</v>
      </c>
      <c r="I9" s="210">
        <f>((2329.91*60.2)+(341.51*60.2))*1.18</f>
        <v>189766.99111999999</v>
      </c>
      <c r="J9" s="272">
        <f>F9*I9</f>
        <v>1138601.9467199999</v>
      </c>
      <c r="K9" s="273">
        <f>(2223.8+436.91)*(1.018)*60.2</f>
        <v>163057.88735600002</v>
      </c>
      <c r="L9" s="274">
        <f>F9*K9</f>
        <v>978347.32413600013</v>
      </c>
      <c r="M9" s="214">
        <f>2514*60.2*1.018</f>
        <v>154066.97040000002</v>
      </c>
      <c r="N9" s="215">
        <f>F9*M9</f>
        <v>924401.82240000018</v>
      </c>
      <c r="O9" s="302">
        <f>(((2862)*60.2)*1.18)</f>
        <v>203305.03199999998</v>
      </c>
      <c r="P9" s="272">
        <f>F9*O9</f>
        <v>1219830.1919999998</v>
      </c>
      <c r="Q9" s="303">
        <f>((1837.18*60.2)+(190*60.2))*1.38</f>
        <v>168410.00568</v>
      </c>
      <c r="R9" s="272">
        <f>F9*Q9</f>
        <v>1010460.03408</v>
      </c>
    </row>
    <row r="10" spans="1:20" ht="48" customHeight="1">
      <c r="A10" s="679"/>
      <c r="B10" s="83">
        <v>2</v>
      </c>
      <c r="C10" s="747" t="s">
        <v>132</v>
      </c>
      <c r="D10" s="748"/>
      <c r="E10" s="304" t="s">
        <v>131</v>
      </c>
      <c r="F10" s="305">
        <v>6</v>
      </c>
      <c r="G10" s="269">
        <v>47259</v>
      </c>
      <c r="H10" s="270">
        <f>G10*F10</f>
        <v>283554</v>
      </c>
      <c r="I10" s="278"/>
      <c r="J10" s="276"/>
      <c r="K10" s="279">
        <f>942.36*(1.018)*60.2</f>
        <v>57751.213296000002</v>
      </c>
      <c r="L10" s="280">
        <f t="shared" ref="L10" si="0">F10*K10</f>
        <v>346507.27977600001</v>
      </c>
      <c r="M10" s="214">
        <f>735.62*1.018*60.2</f>
        <v>45081.441832000004</v>
      </c>
      <c r="N10" s="215">
        <f t="shared" ref="N10" si="1">F10*M10</f>
        <v>270488.65099200001</v>
      </c>
      <c r="O10" s="275"/>
      <c r="P10" s="276"/>
      <c r="Q10" s="275">
        <f>((325.5*60.2)+(135*60.2))*1.38</f>
        <v>38256.498</v>
      </c>
      <c r="R10" s="276">
        <f>F10*Q10</f>
        <v>229538.98800000001</v>
      </c>
      <c r="T10" s="264"/>
    </row>
    <row r="11" spans="1:20" ht="48" customHeight="1">
      <c r="A11" s="679"/>
      <c r="B11" s="83">
        <v>3</v>
      </c>
      <c r="C11" s="749"/>
      <c r="D11" s="682"/>
      <c r="E11" s="267"/>
      <c r="F11" s="305"/>
      <c r="G11" s="269"/>
      <c r="H11" s="270"/>
      <c r="I11" s="278"/>
      <c r="J11" s="276"/>
      <c r="K11" s="279"/>
      <c r="L11" s="280"/>
      <c r="M11" s="214"/>
      <c r="N11" s="215"/>
      <c r="O11" s="275"/>
      <c r="P11" s="276"/>
      <c r="Q11" s="275"/>
      <c r="R11" s="276"/>
    </row>
    <row r="12" spans="1:20" ht="48" customHeight="1">
      <c r="A12" s="679"/>
      <c r="B12" s="83"/>
      <c r="C12" s="750"/>
      <c r="D12" s="684"/>
      <c r="E12" s="306"/>
      <c r="F12" s="84"/>
      <c r="G12" s="151">
        <v>3287.9</v>
      </c>
      <c r="H12" s="307"/>
      <c r="I12" s="90"/>
      <c r="J12" s="172"/>
      <c r="K12" s="173"/>
      <c r="L12" s="101"/>
      <c r="M12" s="90"/>
      <c r="N12" s="172"/>
      <c r="O12" s="90"/>
      <c r="P12" s="234"/>
      <c r="Q12" s="17"/>
      <c r="R12" s="16"/>
    </row>
    <row r="13" spans="1:20" ht="48" customHeight="1">
      <c r="A13" s="679"/>
      <c r="B13" s="83"/>
      <c r="C13" s="750"/>
      <c r="D13" s="684"/>
      <c r="E13" s="306"/>
      <c r="F13" s="84"/>
      <c r="G13" s="151"/>
      <c r="H13" s="307"/>
      <c r="I13" s="90">
        <f>I9</f>
        <v>189766.99111999999</v>
      </c>
      <c r="J13" s="172"/>
      <c r="K13" s="173">
        <f>K9+K10</f>
        <v>220809.10065200002</v>
      </c>
      <c r="L13" s="101"/>
      <c r="M13" s="90">
        <f>M9+M10</f>
        <v>199148.41223200003</v>
      </c>
      <c r="N13" s="172"/>
      <c r="O13" s="90">
        <f>O9</f>
        <v>203305.03199999998</v>
      </c>
      <c r="P13" s="16"/>
      <c r="Q13" s="17">
        <f>SUM(Q9:Q12)</f>
        <v>206666.50367999999</v>
      </c>
      <c r="R13" s="16"/>
    </row>
    <row r="14" spans="1:20" ht="48" customHeight="1" thickBot="1">
      <c r="A14" s="679"/>
      <c r="B14" s="83"/>
      <c r="C14" s="750"/>
      <c r="D14" s="684"/>
      <c r="E14" s="308"/>
      <c r="F14" s="309"/>
      <c r="G14" s="310"/>
      <c r="H14" s="311"/>
      <c r="I14" s="90"/>
      <c r="J14" s="172"/>
      <c r="K14" s="177"/>
      <c r="L14" s="178"/>
      <c r="M14" s="232"/>
      <c r="N14" s="312"/>
      <c r="O14" s="232"/>
      <c r="P14" s="313"/>
      <c r="Q14" s="314"/>
      <c r="R14" s="315"/>
    </row>
    <row r="15" spans="1:20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316">
        <f>SUM(H9:H14)</f>
        <v>1003592.8200000001</v>
      </c>
      <c r="I15" s="283"/>
      <c r="J15" s="88">
        <f>SUM(J9:J14)</f>
        <v>1138601.9467199999</v>
      </c>
      <c r="K15" s="237"/>
      <c r="L15" s="238">
        <f>SUM(L9:L14)</f>
        <v>1324854.6039120001</v>
      </c>
      <c r="M15" s="94"/>
      <c r="N15" s="317">
        <f>SUM(N9:N14)</f>
        <v>1194890.4733920002</v>
      </c>
      <c r="O15" s="95"/>
      <c r="P15" s="318">
        <f>SUM(P9:P14)</f>
        <v>1219830.1919999998</v>
      </c>
      <c r="Q15" s="92"/>
      <c r="R15" s="93">
        <f>SUM(R9:R13)</f>
        <v>1239999.02208</v>
      </c>
    </row>
    <row r="16" spans="1:20" ht="25.5" customHeight="1">
      <c r="A16" s="665"/>
      <c r="B16" s="669" t="s">
        <v>49</v>
      </c>
      <c r="C16" s="670"/>
      <c r="D16" s="670"/>
      <c r="E16" s="670"/>
      <c r="F16" s="670"/>
      <c r="G16" s="670"/>
      <c r="H16" s="37"/>
      <c r="I16" s="671">
        <f>I15*0.18</f>
        <v>0</v>
      </c>
      <c r="J16" s="672"/>
      <c r="K16" s="89"/>
      <c r="L16" s="89">
        <v>0</v>
      </c>
      <c r="M16" s="673">
        <f>0.18*M15</f>
        <v>0</v>
      </c>
      <c r="N16" s="672"/>
      <c r="O16" s="77">
        <v>0</v>
      </c>
      <c r="P16" s="89"/>
      <c r="Q16" s="671"/>
      <c r="R16" s="672"/>
    </row>
    <row r="17" spans="1:18" ht="22.5" customHeigh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40">
        <f>H15+H16</f>
        <v>1003592.8200000001</v>
      </c>
      <c r="I17" s="732">
        <f>J15</f>
        <v>1138601.9467199999</v>
      </c>
      <c r="J17" s="676"/>
      <c r="K17" s="241"/>
      <c r="L17" s="242">
        <f>L15</f>
        <v>1324854.6039120001</v>
      </c>
      <c r="M17" s="351">
        <f>N15</f>
        <v>1194890.4733920002</v>
      </c>
      <c r="N17" s="352"/>
      <c r="O17" s="78"/>
      <c r="P17" s="78">
        <f>P15+P16</f>
        <v>1219830.1919999998</v>
      </c>
      <c r="Q17" s="741">
        <f>R15</f>
        <v>1239999.02208</v>
      </c>
      <c r="R17" s="742"/>
    </row>
    <row r="18" spans="1:18" ht="27" customHeight="1">
      <c r="A18" s="665"/>
      <c r="B18" s="647" t="s">
        <v>20</v>
      </c>
      <c r="C18" s="648"/>
      <c r="D18" s="648"/>
      <c r="E18" s="648"/>
      <c r="F18" s="648"/>
      <c r="G18" s="648"/>
      <c r="H18" s="733"/>
      <c r="I18" s="646"/>
      <c r="J18" s="645"/>
      <c r="K18" s="161"/>
      <c r="L18" s="148"/>
      <c r="M18" s="646">
        <v>1</v>
      </c>
      <c r="N18" s="645"/>
      <c r="O18" s="634"/>
      <c r="P18" s="635"/>
      <c r="Q18" s="743"/>
      <c r="R18" s="744"/>
    </row>
    <row r="19" spans="1:18" ht="23.25" customHeight="1">
      <c r="A19" s="665"/>
      <c r="B19" s="647"/>
      <c r="C19" s="648"/>
      <c r="D19" s="648"/>
      <c r="E19" s="648"/>
      <c r="F19" s="648"/>
      <c r="G19" s="648"/>
      <c r="H19" s="733"/>
      <c r="I19" s="49" t="s">
        <v>21</v>
      </c>
      <c r="J19" s="148">
        <v>3</v>
      </c>
      <c r="K19" s="49" t="s">
        <v>21</v>
      </c>
      <c r="L19" s="22">
        <v>4</v>
      </c>
      <c r="M19" s="149" t="s">
        <v>21</v>
      </c>
      <c r="N19" s="148">
        <v>1</v>
      </c>
      <c r="O19" s="149" t="s">
        <v>21</v>
      </c>
      <c r="P19" s="148">
        <v>2</v>
      </c>
      <c r="Q19" s="147" t="s">
        <v>21</v>
      </c>
      <c r="R19" s="148">
        <v>5</v>
      </c>
    </row>
    <row r="20" spans="1:18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733"/>
      <c r="I20" s="102" t="s">
        <v>23</v>
      </c>
      <c r="J20" s="103">
        <f>IF(OR($H$17=0,I17=0),"-",I17-$H$17)</f>
        <v>135009.12671999983</v>
      </c>
      <c r="K20" s="102" t="s">
        <v>23</v>
      </c>
      <c r="L20" s="103">
        <f>IF(OR($H$17=0,L17=0),"-",L17-$H$17)</f>
        <v>321261.78391200001</v>
      </c>
      <c r="M20" s="102" t="s">
        <v>23</v>
      </c>
      <c r="N20" s="103">
        <f>IF(OR($H$17=0,M17=0),"-",M17-$H$17)</f>
        <v>191297.65339200012</v>
      </c>
      <c r="O20" s="102" t="s">
        <v>23</v>
      </c>
      <c r="P20" s="103">
        <f>IF(OR($H$17=0,P17=0),"-",P17-$H$17)</f>
        <v>216237.37199999974</v>
      </c>
      <c r="Q20" s="102" t="s">
        <v>23</v>
      </c>
      <c r="R20" s="103">
        <f>Q17-H17</f>
        <v>236406.20207999996</v>
      </c>
    </row>
    <row r="21" spans="1:18" ht="24.95" customHeight="1">
      <c r="A21" s="7"/>
      <c r="B21" s="650" t="s">
        <v>51</v>
      </c>
      <c r="C21" s="651"/>
      <c r="D21" s="651"/>
      <c r="E21" s="651"/>
      <c r="F21" s="651"/>
      <c r="G21" s="651"/>
      <c r="H21" s="727"/>
      <c r="I21" s="738">
        <f>J20*77</f>
        <v>10395702.757439986</v>
      </c>
      <c r="J21" s="654"/>
      <c r="K21" s="657">
        <f>L20*77</f>
        <v>24737157.361223999</v>
      </c>
      <c r="L21" s="658"/>
      <c r="M21" s="739">
        <f>N20*77</f>
        <v>14729919.31118401</v>
      </c>
      <c r="N21" s="740"/>
      <c r="O21" s="657">
        <f>P20*77</f>
        <v>16650277.643999981</v>
      </c>
      <c r="P21" s="658"/>
      <c r="Q21" s="657">
        <f>R20*77</f>
        <v>18203277.560159996</v>
      </c>
      <c r="R21" s="658"/>
    </row>
    <row r="22" spans="1:18" ht="24.95" customHeight="1">
      <c r="A22" s="7"/>
      <c r="B22" s="621" t="s">
        <v>20</v>
      </c>
      <c r="C22" s="622"/>
      <c r="D22" s="622"/>
      <c r="E22" s="622"/>
      <c r="F22" s="622"/>
      <c r="G22" s="622"/>
      <c r="H22" s="713"/>
      <c r="I22" s="663" t="str">
        <f>IF(OR($H$17=0,I17=0),"",IF(I17&lt;=$H$17,$C$49,$C$50))</f>
        <v>Precio mayor al presupuesto</v>
      </c>
      <c r="J22" s="660"/>
      <c r="K22" s="661" t="str">
        <f>IF(OR($H$17=0,L17=0),"",IF(L17&lt;=$H$17,$C$49,$C$50))</f>
        <v>Precio mayor al presupuesto</v>
      </c>
      <c r="L22" s="662"/>
      <c r="M22" s="663" t="str">
        <f>IF(OR($H$17=0,M17=0),"",IF(M17&lt;=$H$17,$C$49,$C$50))</f>
        <v>Precio mayor al presupuesto</v>
      </c>
      <c r="N22" s="660"/>
      <c r="O22" s="663" t="str">
        <f>IF(OR($H$17=0,P17=0),"",IF(P17&lt;=$H$17,$C$49,$C$50))</f>
        <v>Precio mayor al presupuesto</v>
      </c>
      <c r="P22" s="660"/>
      <c r="Q22" s="663" t="str">
        <f t="shared" ref="Q22" si="2">IF(OR($H$17=0,Q17=0),"",IF(Q17&lt;=$H$17,$C$49,$C$50))</f>
        <v>Precio mayor al presupuesto</v>
      </c>
      <c r="R22" s="660"/>
    </row>
    <row r="23" spans="1:18" ht="24.95" customHeight="1">
      <c r="A23" s="7"/>
      <c r="B23" s="621"/>
      <c r="C23" s="622"/>
      <c r="D23" s="622"/>
      <c r="E23" s="622"/>
      <c r="F23" s="622"/>
      <c r="G23" s="622"/>
      <c r="H23" s="713"/>
      <c r="I23" s="108" t="s">
        <v>21</v>
      </c>
      <c r="J23" s="109">
        <f>IF(I22=$C$49,$F$49,0)</f>
        <v>0</v>
      </c>
      <c r="K23" s="245" t="s">
        <v>21</v>
      </c>
      <c r="L23" s="245">
        <f>IF(K22=$C$49,$F$49,0)</f>
        <v>0</v>
      </c>
      <c r="M23" s="108" t="s">
        <v>21</v>
      </c>
      <c r="N23" s="109">
        <f>IF(M22=$C$49,$F$49,0)</f>
        <v>0</v>
      </c>
      <c r="O23" s="108" t="s">
        <v>21</v>
      </c>
      <c r="P23" s="109">
        <f>IF(O22=$C$49,$F$49,0)</f>
        <v>0</v>
      </c>
      <c r="Q23" s="108" t="s">
        <v>21</v>
      </c>
      <c r="R23" s="109">
        <f>IF(Q22=$C$49,$F$49,0)</f>
        <v>0</v>
      </c>
    </row>
    <row r="24" spans="1:18" ht="24.95" customHeight="1">
      <c r="A24" s="7"/>
      <c r="B24" s="621" t="s">
        <v>22</v>
      </c>
      <c r="C24" s="622"/>
      <c r="D24" s="622"/>
      <c r="E24" s="622"/>
      <c r="F24" s="622"/>
      <c r="G24" s="622"/>
      <c r="H24" s="713"/>
      <c r="I24" s="108" t="s">
        <v>23</v>
      </c>
      <c r="J24" s="101">
        <f>IF(OR($H$17=0,I17=0),"-",I17-$H$17)</f>
        <v>135009.12671999983</v>
      </c>
      <c r="K24" s="246" t="s">
        <v>23</v>
      </c>
      <c r="L24" s="246">
        <f>IF(OR($H$17=0,L17=0),"-",L17-$H$17)</f>
        <v>321261.78391200001</v>
      </c>
      <c r="M24" s="108" t="s">
        <v>23</v>
      </c>
      <c r="N24" s="101">
        <f>IF(OR($H$17=0,M17=0),"-",M17-$H$17)</f>
        <v>191297.65339200012</v>
      </c>
      <c r="O24" s="108" t="s">
        <v>23</v>
      </c>
      <c r="P24" s="101">
        <f>IF(OR($H$17=0,P17=0),"-",P17-$H$17)</f>
        <v>216237.37199999974</v>
      </c>
      <c r="Q24" s="108" t="s">
        <v>23</v>
      </c>
      <c r="R24" s="101">
        <f>IF(OR($H$17=0,Q17=0),"-",Q17-$H$17)</f>
        <v>236406.20207999996</v>
      </c>
    </row>
    <row r="25" spans="1:18" ht="34.5" customHeight="1">
      <c r="A25" s="7"/>
      <c r="B25" s="621"/>
      <c r="C25" s="622"/>
      <c r="D25" s="622"/>
      <c r="E25" s="622"/>
      <c r="F25" s="622"/>
      <c r="G25" s="622"/>
      <c r="H25" s="713"/>
      <c r="I25" s="111" t="s">
        <v>21</v>
      </c>
      <c r="J25" s="50">
        <f>IF(AND(J24&lt;N24,J24&lt;P24,J24&lt;R24,J24&lt;L24),2,0)</f>
        <v>2</v>
      </c>
      <c r="K25" s="247" t="s">
        <v>21</v>
      </c>
      <c r="L25" s="247">
        <f>IF(AND(L24&lt;P24,L24&lt;R24,L24&lt;J24,L24&lt;N24),2,0)</f>
        <v>0</v>
      </c>
      <c r="M25" s="110" t="s">
        <v>21</v>
      </c>
      <c r="N25" s="50">
        <f>IF(AND(N24&lt;R24,N24&lt;J24,N24&lt;L24,N24&lt;P24),2,0)</f>
        <v>0</v>
      </c>
      <c r="O25" s="105" t="s">
        <v>21</v>
      </c>
      <c r="P25" s="50">
        <f>IF(AND(P24&lt;R24,P24&lt;N24,P24&lt;J24,P24&lt;L24),2,0)</f>
        <v>0</v>
      </c>
      <c r="Q25" s="105" t="s">
        <v>21</v>
      </c>
      <c r="R25" s="50">
        <f>IF(AND(R24&lt;J24,R24&lt;P24,R24&lt;N24,R24&lt;L24),2,0)</f>
        <v>0</v>
      </c>
    </row>
    <row r="26" spans="1:18" ht="34.5" customHeight="1">
      <c r="A26" s="7"/>
      <c r="B26" s="628" t="s">
        <v>53</v>
      </c>
      <c r="C26" s="629"/>
      <c r="D26" s="629"/>
      <c r="E26" s="629"/>
      <c r="F26" s="629"/>
      <c r="G26" s="629"/>
      <c r="H26" s="710"/>
      <c r="I26" s="642" t="str">
        <f>C56</f>
        <v>Por valuación de obra ejecutada con anticipo</v>
      </c>
      <c r="J26" s="643"/>
      <c r="K26" s="642" t="str">
        <f>C56</f>
        <v>Por valuación de obra ejecutada con anticipo</v>
      </c>
      <c r="L26" s="643"/>
      <c r="M26" s="642" t="str">
        <f>C56</f>
        <v>Por valuación de obra ejecutada con anticipo</v>
      </c>
      <c r="N26" s="643"/>
      <c r="O26" s="642" t="str">
        <f>C56</f>
        <v>Por valuación de obra ejecutada con anticipo</v>
      </c>
      <c r="P26" s="643"/>
      <c r="Q26" s="642" t="str">
        <f>C56</f>
        <v>Por valuación de obra ejecutada con anticipo</v>
      </c>
      <c r="R26" s="643"/>
    </row>
    <row r="27" spans="1:18" ht="24.95" customHeight="1">
      <c r="B27" s="638"/>
      <c r="C27" s="639"/>
      <c r="D27" s="639"/>
      <c r="E27" s="639"/>
      <c r="F27" s="639"/>
      <c r="G27" s="639"/>
      <c r="H27" s="711"/>
      <c r="I27" s="113" t="s">
        <v>21</v>
      </c>
      <c r="J27" s="114">
        <v>2</v>
      </c>
      <c r="K27" s="113" t="s">
        <v>21</v>
      </c>
      <c r="L27" s="114">
        <v>2</v>
      </c>
      <c r="M27" s="113" t="s">
        <v>21</v>
      </c>
      <c r="N27" s="114">
        <v>2</v>
      </c>
      <c r="O27" s="113" t="s">
        <v>21</v>
      </c>
      <c r="P27" s="114">
        <v>2</v>
      </c>
      <c r="Q27" s="113" t="s">
        <v>21</v>
      </c>
      <c r="R27" s="114">
        <v>2</v>
      </c>
    </row>
    <row r="28" spans="1:18" ht="24.95" customHeight="1">
      <c r="B28" s="638"/>
      <c r="C28" s="639"/>
      <c r="D28" s="639"/>
      <c r="E28" s="639"/>
      <c r="F28" s="639"/>
      <c r="G28" s="639"/>
      <c r="H28" s="711"/>
      <c r="I28" s="248" t="s">
        <v>110</v>
      </c>
      <c r="J28" s="249"/>
      <c r="K28" s="248" t="s">
        <v>110</v>
      </c>
      <c r="L28" s="249"/>
      <c r="M28" s="248" t="s">
        <v>110</v>
      </c>
      <c r="N28" s="250"/>
      <c r="O28" s="248" t="s">
        <v>110</v>
      </c>
      <c r="P28" s="114"/>
      <c r="Q28" s="248" t="s">
        <v>110</v>
      </c>
      <c r="R28" s="114"/>
    </row>
    <row r="29" spans="1:18" ht="24.95" customHeight="1">
      <c r="B29" s="638"/>
      <c r="C29" s="639"/>
      <c r="D29" s="639"/>
      <c r="E29" s="639"/>
      <c r="F29" s="639"/>
      <c r="G29" s="639"/>
      <c r="H29" s="711"/>
      <c r="I29" s="248" t="s">
        <v>111</v>
      </c>
      <c r="J29" s="249"/>
      <c r="K29" s="248" t="s">
        <v>111</v>
      </c>
      <c r="L29" s="251"/>
      <c r="M29" s="248" t="s">
        <v>111</v>
      </c>
      <c r="N29" s="250"/>
      <c r="O29" s="248" t="s">
        <v>111</v>
      </c>
      <c r="P29" s="114"/>
      <c r="Q29" s="248" t="s">
        <v>111</v>
      </c>
      <c r="R29" s="114"/>
    </row>
    <row r="30" spans="1:18" ht="24.95" customHeight="1">
      <c r="B30" s="638"/>
      <c r="C30" s="639"/>
      <c r="D30" s="639"/>
      <c r="E30" s="639"/>
      <c r="F30" s="639"/>
      <c r="G30" s="639"/>
      <c r="H30" s="711"/>
      <c r="I30" s="248" t="s">
        <v>112</v>
      </c>
      <c r="J30" s="249"/>
      <c r="K30" s="248" t="s">
        <v>112</v>
      </c>
      <c r="L30" s="251"/>
      <c r="M30" s="248" t="s">
        <v>112</v>
      </c>
      <c r="N30" s="250"/>
      <c r="O30" s="248" t="s">
        <v>112</v>
      </c>
      <c r="P30" s="114"/>
      <c r="Q30" s="248" t="s">
        <v>112</v>
      </c>
      <c r="R30" s="114"/>
    </row>
    <row r="31" spans="1:18" ht="24.95" customHeight="1">
      <c r="B31" s="640"/>
      <c r="C31" s="641"/>
      <c r="D31" s="641"/>
      <c r="E31" s="641"/>
      <c r="F31" s="641"/>
      <c r="G31" s="641"/>
      <c r="H31" s="712"/>
      <c r="I31" s="248" t="s">
        <v>113</v>
      </c>
      <c r="J31" s="249"/>
      <c r="K31" s="248" t="s">
        <v>113</v>
      </c>
      <c r="L31" s="251"/>
      <c r="M31" s="248" t="s">
        <v>113</v>
      </c>
      <c r="N31" s="250"/>
      <c r="O31" s="248" t="s">
        <v>113</v>
      </c>
      <c r="P31" s="114"/>
      <c r="Q31" s="248" t="s">
        <v>113</v>
      </c>
      <c r="R31" s="114"/>
    </row>
    <row r="32" spans="1:18" ht="24.95" customHeight="1">
      <c r="B32" s="621" t="s">
        <v>54</v>
      </c>
      <c r="C32" s="622"/>
      <c r="D32" s="622"/>
      <c r="E32" s="622"/>
      <c r="F32" s="622"/>
      <c r="G32" s="622"/>
      <c r="H32" s="713"/>
      <c r="I32" s="624" t="str">
        <f>C63</f>
        <v>A los 60 días</v>
      </c>
      <c r="J32" s="625"/>
      <c r="K32" s="624" t="str">
        <f>C63</f>
        <v>A los 60 días</v>
      </c>
      <c r="L32" s="625"/>
      <c r="M32" s="624" t="str">
        <f>C63</f>
        <v>A los 60 días</v>
      </c>
      <c r="N32" s="625"/>
      <c r="O32" s="624" t="str">
        <f>C63</f>
        <v>A los 60 días</v>
      </c>
      <c r="P32" s="625"/>
      <c r="Q32" s="624" t="str">
        <f>C63</f>
        <v>A los 60 días</v>
      </c>
      <c r="R32" s="625"/>
    </row>
    <row r="33" spans="2:18" ht="47.25" customHeight="1">
      <c r="B33" s="621"/>
      <c r="C33" s="622"/>
      <c r="D33" s="622"/>
      <c r="E33" s="622"/>
      <c r="F33" s="622"/>
      <c r="G33" s="622"/>
      <c r="H33" s="713"/>
      <c r="I33" s="106" t="s">
        <v>21</v>
      </c>
      <c r="J33" s="112">
        <f>IF(I32=$C$60,$F$60,IF(I32=$C$61,$F$61,IF(I32=$C$62,$F$62,IF(I32=$C$63,F63,0))))</f>
        <v>0</v>
      </c>
      <c r="K33" s="106" t="s">
        <v>21</v>
      </c>
      <c r="L33" s="247">
        <f>IF(K32=$C$60,$F$60,IF(K32=$C$61,$F$61,IF(K32=$C$62,$F$62,IF(K32=$C$63,H63,0))))</f>
        <v>0</v>
      </c>
      <c r="M33" s="115" t="s">
        <v>21</v>
      </c>
      <c r="N33" s="116">
        <f t="shared" ref="N33" si="3">IF(M32=$C$60,$F$60,IF(M32=$C$61,$F$61,IF(M32=$C$62,$F$62,0)))</f>
        <v>0</v>
      </c>
      <c r="O33" s="115" t="s">
        <v>21</v>
      </c>
      <c r="P33" s="116">
        <f t="shared" ref="P33" si="4">IF(O32=$C$60,$F$60,IF(O32=$C$61,$F$61,IF(O32=$C$62,$F$62,0)))</f>
        <v>0</v>
      </c>
      <c r="Q33" s="115" t="s">
        <v>21</v>
      </c>
      <c r="R33" s="117">
        <f t="shared" ref="R33" si="5">IF(Q32=$C$60,$F$60,IF(Q32=$C$61,$F$61,IF(Q32=$C$62,$F$62,0)))</f>
        <v>0</v>
      </c>
    </row>
    <row r="34" spans="2:18" ht="33.75" customHeight="1">
      <c r="B34" s="621" t="s">
        <v>56</v>
      </c>
      <c r="C34" s="622"/>
      <c r="D34" s="622"/>
      <c r="E34" s="622"/>
      <c r="F34" s="622"/>
      <c r="G34" s="622"/>
      <c r="H34" s="713"/>
      <c r="I34" s="626" t="s">
        <v>45</v>
      </c>
      <c r="J34" s="627"/>
      <c r="K34" s="626" t="s">
        <v>45</v>
      </c>
      <c r="L34" s="627"/>
      <c r="M34" s="626" t="s">
        <v>45</v>
      </c>
      <c r="N34" s="627"/>
      <c r="O34" s="626" t="s">
        <v>45</v>
      </c>
      <c r="P34" s="627"/>
      <c r="Q34" s="626" t="s">
        <v>45</v>
      </c>
      <c r="R34" s="627"/>
    </row>
    <row r="35" spans="2:18" ht="30" customHeight="1">
      <c r="B35" s="621"/>
      <c r="C35" s="622"/>
      <c r="D35" s="622"/>
      <c r="E35" s="622"/>
      <c r="F35" s="622"/>
      <c r="G35" s="622"/>
      <c r="H35" s="713"/>
      <c r="I35" s="51" t="s">
        <v>21</v>
      </c>
      <c r="J35" s="118">
        <f>IF(I34=$C$65,$F$65,0)</f>
        <v>2</v>
      </c>
      <c r="K35" s="253" t="s">
        <v>21</v>
      </c>
      <c r="L35" s="253">
        <f>IF(K34=$C$65,$F$65,0)</f>
        <v>2</v>
      </c>
      <c r="M35" s="51" t="s">
        <v>21</v>
      </c>
      <c r="N35" s="118">
        <f t="shared" ref="N35" si="6">IF(M34=$C$65,$F$65,0)</f>
        <v>2</v>
      </c>
      <c r="O35" s="51" t="s">
        <v>21</v>
      </c>
      <c r="P35" s="118">
        <f t="shared" ref="P35" si="7">IF(O34=$C$65,$F$65,0)</f>
        <v>2</v>
      </c>
      <c r="Q35" s="51" t="s">
        <v>21</v>
      </c>
      <c r="R35" s="118">
        <f t="shared" ref="R35" si="8">IF(Q34=$C$65,$F$65,0)</f>
        <v>2</v>
      </c>
    </row>
    <row r="36" spans="2:18" ht="30" customHeight="1">
      <c r="B36" s="628" t="s">
        <v>57</v>
      </c>
      <c r="C36" s="629"/>
      <c r="D36" s="629"/>
      <c r="E36" s="629"/>
      <c r="F36" s="629"/>
      <c r="G36" s="629"/>
      <c r="H36" s="710"/>
      <c r="I36" s="634" t="str">
        <f>C68</f>
        <v>Excelente</v>
      </c>
      <c r="J36" s="635"/>
      <c r="K36" s="634" t="str">
        <f>C68</f>
        <v>Excelente</v>
      </c>
      <c r="L36" s="635"/>
      <c r="M36" s="634" t="str">
        <f>C68</f>
        <v>Excelente</v>
      </c>
      <c r="N36" s="635"/>
      <c r="O36" s="634" t="str">
        <f>C68</f>
        <v>Excelente</v>
      </c>
      <c r="P36" s="635"/>
      <c r="Q36" s="634" t="str">
        <f>C68</f>
        <v>Excelente</v>
      </c>
      <c r="R36" s="635"/>
    </row>
    <row r="37" spans="2:18" ht="24.95" customHeight="1" thickBot="1">
      <c r="B37" s="630"/>
      <c r="C37" s="631"/>
      <c r="D37" s="631"/>
      <c r="E37" s="631"/>
      <c r="F37" s="631"/>
      <c r="G37" s="631"/>
      <c r="H37" s="737"/>
      <c r="I37" s="122" t="s">
        <v>21</v>
      </c>
      <c r="J37" s="123">
        <f>IF(I36=$C$68,$F$68,IF(I36=$C$69,$F$69,0))</f>
        <v>2</v>
      </c>
      <c r="K37" s="255" t="s">
        <v>21</v>
      </c>
      <c r="L37" s="255">
        <f>IF(K36=$C$68,$F$68,IF(K36=$C$69,$F$69,0))</f>
        <v>2</v>
      </c>
      <c r="M37" s="124" t="s">
        <v>21</v>
      </c>
      <c r="N37" s="123">
        <f>IF(M36=$C$68,$F$68,IF(M36=$C$69,$F$69,0))</f>
        <v>2</v>
      </c>
      <c r="O37" s="124" t="s">
        <v>21</v>
      </c>
      <c r="P37" s="125">
        <f>IF(O36=$C$68,$F$68,IF(O36=$C$69,$F$69,0))</f>
        <v>2</v>
      </c>
      <c r="Q37" s="124" t="s">
        <v>21</v>
      </c>
      <c r="R37" s="126">
        <f>IF(Q36=$C$68,$F$68,IF(Q36=$C$69,$F$69,0))</f>
        <v>2</v>
      </c>
    </row>
    <row r="38" spans="2:18" ht="24.95" customHeight="1" thickBot="1">
      <c r="B38" s="119"/>
      <c r="C38" s="120"/>
      <c r="D38" s="120"/>
      <c r="E38" s="120"/>
      <c r="F38" s="120"/>
      <c r="G38" s="120"/>
      <c r="H38" s="121"/>
      <c r="I38" s="133"/>
      <c r="J38" s="134"/>
      <c r="K38" s="257"/>
      <c r="L38" s="257"/>
      <c r="M38" s="135"/>
      <c r="N38" s="134"/>
      <c r="O38" s="135"/>
      <c r="P38" s="136"/>
      <c r="Q38" s="135"/>
      <c r="R38" s="137"/>
    </row>
    <row r="39" spans="2:18" ht="24.95" customHeight="1" thickBot="1">
      <c r="B39" s="119"/>
      <c r="C39" s="120"/>
      <c r="D39" s="120"/>
      <c r="E39" s="120"/>
      <c r="F39" s="120"/>
      <c r="G39" s="120"/>
      <c r="H39" s="121"/>
      <c r="I39" s="133"/>
      <c r="J39" s="134"/>
      <c r="K39" s="257"/>
      <c r="L39" s="257"/>
      <c r="M39" s="135"/>
      <c r="N39" s="134"/>
      <c r="O39" s="135"/>
      <c r="P39" s="136"/>
      <c r="Q39" s="135"/>
      <c r="R39" s="137"/>
    </row>
    <row r="40" spans="2:18" ht="24.95" customHeight="1" thickBot="1">
      <c r="B40" s="636" t="s">
        <v>62</v>
      </c>
      <c r="C40" s="637"/>
      <c r="D40" s="637"/>
      <c r="E40" s="637"/>
      <c r="F40" s="637"/>
      <c r="G40" s="637"/>
      <c r="H40" s="720"/>
      <c r="I40" s="127"/>
      <c r="J40" s="131">
        <f>J23+J25+J27+J33+J35+J37</f>
        <v>8</v>
      </c>
      <c r="K40" s="128"/>
      <c r="L40" s="128">
        <f>L23+L25+L27+L33+L35+L37</f>
        <v>6</v>
      </c>
      <c r="M40" s="129"/>
      <c r="N40" s="132">
        <f>N23+N25+N27+N33+N35+N37</f>
        <v>6</v>
      </c>
      <c r="O40" s="130"/>
      <c r="P40" s="142">
        <f>P23+P25+P27+P33+P35+P37</f>
        <v>6</v>
      </c>
      <c r="Q40" s="27"/>
      <c r="R40" s="142">
        <f>R23+R25+R27+R33+R35+R37</f>
        <v>6</v>
      </c>
    </row>
    <row r="41" spans="2:18" ht="24.95" customHeight="1" thickBot="1">
      <c r="B41" s="620" t="s">
        <v>61</v>
      </c>
      <c r="C41" s="620"/>
      <c r="D41" s="620"/>
      <c r="E41" s="620"/>
      <c r="F41" s="620"/>
      <c r="G41" s="620"/>
      <c r="H41" s="620"/>
      <c r="I41" s="131"/>
      <c r="J41" s="128">
        <v>10</v>
      </c>
      <c r="K41" s="128"/>
      <c r="L41" s="128">
        <v>10</v>
      </c>
      <c r="M41" s="131"/>
      <c r="N41" s="128">
        <v>10</v>
      </c>
      <c r="O41" s="138"/>
      <c r="P41" s="140">
        <v>10</v>
      </c>
      <c r="Q41" s="139"/>
      <c r="R41" s="141">
        <v>10</v>
      </c>
    </row>
    <row r="42" spans="2:18" ht="24.95" customHeight="1" thickBot="1">
      <c r="B42" s="616" t="s">
        <v>63</v>
      </c>
      <c r="C42" s="616"/>
      <c r="D42" s="616"/>
      <c r="E42" s="616"/>
      <c r="F42" s="616"/>
      <c r="G42" s="616"/>
      <c r="H42" s="616"/>
      <c r="I42" s="107"/>
      <c r="J42" s="145">
        <f>J40+J41</f>
        <v>18</v>
      </c>
      <c r="K42" s="296"/>
      <c r="L42" s="145">
        <f>L40+L41</f>
        <v>16</v>
      </c>
      <c r="M42" s="24"/>
      <c r="N42" s="145">
        <f>N40+N41</f>
        <v>16</v>
      </c>
      <c r="O42" s="146"/>
      <c r="P42" s="144">
        <f>P40+P41</f>
        <v>16</v>
      </c>
      <c r="Q42" s="143"/>
      <c r="R42" s="144">
        <f>R40+R41</f>
        <v>16</v>
      </c>
    </row>
    <row r="43" spans="2:18" ht="24.95" customHeight="1">
      <c r="B43" s="69"/>
      <c r="C43" s="70" t="s">
        <v>24</v>
      </c>
      <c r="D43" s="71"/>
      <c r="E43" s="70" t="s">
        <v>25</v>
      </c>
      <c r="F43" s="71"/>
      <c r="G43" s="69"/>
      <c r="H43" s="69"/>
      <c r="I43" s="72" t="str">
        <f>IF($H$17&gt;(3000*$I$48),"COORDINADOR DE PROYECTOS","")</f>
        <v>COORDINADOR DE PROYECTOS</v>
      </c>
      <c r="J43" s="69"/>
      <c r="K43" s="69"/>
      <c r="L43" s="69"/>
      <c r="M43" s="69"/>
      <c r="N43" s="73" t="str">
        <f>IF($H$17&gt;(7500*$I$48),"GERENTE TÉCNICO","")</f>
        <v>GERENTE TÉCNICO</v>
      </c>
      <c r="Q43" s="45"/>
      <c r="R43" s="99"/>
    </row>
    <row r="44" spans="2:18" ht="24.95" customHeight="1">
      <c r="B44" s="26"/>
      <c r="C44" s="22"/>
      <c r="D44" s="26"/>
      <c r="E44" s="48" t="s">
        <v>4</v>
      </c>
      <c r="F44" s="26"/>
      <c r="G44" s="26"/>
      <c r="H44" s="26"/>
      <c r="I44" s="26" t="str">
        <f>IF(I43&lt;&gt;"","FECHA:","")</f>
        <v>FECHA:</v>
      </c>
      <c r="J44" s="26"/>
      <c r="K44" s="26"/>
      <c r="L44" s="26"/>
      <c r="M44" s="26"/>
      <c r="N44" s="48" t="str">
        <f>IF(N43&lt;&gt;"","FECHA:","")</f>
        <v>FECHA:</v>
      </c>
      <c r="P44" s="73"/>
      <c r="R44" s="46"/>
    </row>
    <row r="45" spans="2:18" ht="24.95" customHeight="1">
      <c r="B45" s="47"/>
      <c r="C45" s="47"/>
      <c r="H45" s="104"/>
      <c r="N45" s="100"/>
      <c r="Q45" s="46"/>
    </row>
    <row r="46" spans="2:18" ht="24.95" customHeight="1">
      <c r="O46" s="91"/>
    </row>
    <row r="47" spans="2:18" ht="24.95" customHeight="1">
      <c r="C47" s="617" t="s">
        <v>26</v>
      </c>
      <c r="D47" s="618"/>
      <c r="E47" s="619"/>
      <c r="F47" s="13" t="s">
        <v>27</v>
      </c>
      <c r="H47" s="65" t="s">
        <v>28</v>
      </c>
      <c r="I47" s="66">
        <f ca="1">TODAY()</f>
        <v>46233</v>
      </c>
      <c r="J47" s="6"/>
      <c r="K47" s="6"/>
      <c r="L47" s="6"/>
      <c r="M47" s="14"/>
      <c r="N47"/>
      <c r="O47"/>
      <c r="P47"/>
      <c r="Q47" s="6"/>
      <c r="R47" s="6"/>
    </row>
    <row r="48" spans="2:18" ht="24.95" customHeight="1">
      <c r="C48" s="610" t="s">
        <v>29</v>
      </c>
      <c r="D48" s="611"/>
      <c r="E48" s="611"/>
      <c r="F48" s="52"/>
      <c r="H48" s="67" t="s">
        <v>30</v>
      </c>
      <c r="I48" s="68"/>
    </row>
    <row r="49" spans="1:12" ht="24.95" customHeight="1">
      <c r="B49" s="7"/>
      <c r="C49" s="53" t="s">
        <v>31</v>
      </c>
      <c r="D49" s="54"/>
      <c r="E49" s="55"/>
      <c r="F49" s="56">
        <v>2</v>
      </c>
    </row>
    <row r="50" spans="1:12" ht="24.95" customHeight="1">
      <c r="B50" s="7"/>
      <c r="C50" s="57" t="s">
        <v>32</v>
      </c>
      <c r="D50" s="58"/>
      <c r="E50" s="59"/>
      <c r="F50" s="60">
        <v>0</v>
      </c>
      <c r="H50" s="15"/>
      <c r="I50" s="80"/>
      <c r="J50" s="79"/>
      <c r="K50" s="79"/>
      <c r="L50" s="79"/>
    </row>
    <row r="51" spans="1:12" ht="24.95" customHeight="1">
      <c r="C51" s="610" t="s">
        <v>33</v>
      </c>
      <c r="D51" s="611"/>
      <c r="E51" s="611"/>
      <c r="F51" s="52"/>
      <c r="I51" s="80"/>
      <c r="J51" s="79"/>
      <c r="K51" s="79"/>
      <c r="L51" s="79"/>
    </row>
    <row r="52" spans="1:12" ht="24.95" customHeight="1">
      <c r="B52" s="7"/>
      <c r="C52" s="53" t="s">
        <v>34</v>
      </c>
      <c r="D52" s="54"/>
      <c r="E52" s="55"/>
      <c r="F52" s="56">
        <v>2</v>
      </c>
    </row>
    <row r="53" spans="1:12" ht="24.95" customHeight="1">
      <c r="B53" s="7"/>
      <c r="C53" s="57" t="s">
        <v>35</v>
      </c>
      <c r="D53" s="58"/>
      <c r="E53" s="59"/>
      <c r="F53" s="60">
        <v>0</v>
      </c>
    </row>
    <row r="54" spans="1:12" ht="24.95" customHeight="1">
      <c r="A54" s="6"/>
      <c r="C54" s="610" t="s">
        <v>36</v>
      </c>
      <c r="D54" s="611"/>
      <c r="E54" s="611"/>
      <c r="F54" s="52"/>
    </row>
    <row r="55" spans="1:12" ht="24.95" customHeight="1">
      <c r="C55" s="57" t="s">
        <v>37</v>
      </c>
      <c r="D55" s="58"/>
      <c r="E55" s="59"/>
      <c r="F55" s="60">
        <v>3</v>
      </c>
      <c r="H55" s="6"/>
    </row>
    <row r="56" spans="1:12" ht="24.95" customHeight="1">
      <c r="C56" s="57" t="s">
        <v>38</v>
      </c>
      <c r="D56" s="58"/>
      <c r="E56" s="59"/>
      <c r="F56" s="60">
        <v>2</v>
      </c>
      <c r="H56" s="6"/>
    </row>
    <row r="57" spans="1:12" ht="24.95" customHeight="1">
      <c r="C57" s="57" t="s">
        <v>39</v>
      </c>
      <c r="D57" s="58"/>
      <c r="E57" s="59"/>
      <c r="F57" s="60">
        <v>1</v>
      </c>
      <c r="H57" s="6"/>
    </row>
    <row r="58" spans="1:12" ht="24.95" customHeight="1">
      <c r="C58" s="57" t="s">
        <v>73</v>
      </c>
      <c r="D58" s="58"/>
      <c r="E58" s="59"/>
      <c r="F58" s="60">
        <v>0</v>
      </c>
      <c r="H58" s="6"/>
    </row>
    <row r="59" spans="1:12" ht="24.95" customHeight="1">
      <c r="C59" s="610" t="s">
        <v>40</v>
      </c>
      <c r="D59" s="611"/>
      <c r="E59" s="611"/>
      <c r="F59" s="52"/>
    </row>
    <row r="60" spans="1:12" ht="24.95" customHeight="1">
      <c r="C60" s="61" t="s">
        <v>41</v>
      </c>
      <c r="D60" s="58"/>
      <c r="E60" s="59"/>
      <c r="F60" s="60">
        <v>3</v>
      </c>
    </row>
    <row r="61" spans="1:12" ht="24.95" customHeight="1">
      <c r="C61" s="61" t="s">
        <v>42</v>
      </c>
      <c r="D61" s="58"/>
      <c r="E61" s="59"/>
      <c r="F61" s="60">
        <v>2</v>
      </c>
    </row>
    <row r="62" spans="1:12" ht="24.95" customHeight="1">
      <c r="C62" s="61" t="s">
        <v>43</v>
      </c>
      <c r="D62" s="58"/>
      <c r="E62" s="59"/>
      <c r="F62" s="60">
        <v>1</v>
      </c>
    </row>
    <row r="63" spans="1:12" ht="24.95" customHeight="1">
      <c r="C63" s="61" t="s">
        <v>55</v>
      </c>
      <c r="D63" s="58"/>
      <c r="E63" s="58"/>
      <c r="F63" s="52">
        <v>0</v>
      </c>
    </row>
    <row r="64" spans="1:12" ht="24.95" customHeight="1">
      <c r="C64" s="610" t="s">
        <v>44</v>
      </c>
      <c r="D64" s="611"/>
      <c r="E64" s="611"/>
      <c r="F64" s="52"/>
    </row>
    <row r="65" spans="2:8" ht="24.95" customHeight="1">
      <c r="C65" s="57" t="s">
        <v>45</v>
      </c>
      <c r="D65" s="58"/>
      <c r="E65" s="59"/>
      <c r="F65" s="60">
        <v>2</v>
      </c>
    </row>
    <row r="66" spans="2:8" ht="24.95" customHeight="1">
      <c r="C66" s="57" t="s">
        <v>46</v>
      </c>
      <c r="D66" s="58"/>
      <c r="E66" s="59"/>
      <c r="F66" s="60">
        <v>0</v>
      </c>
    </row>
    <row r="67" spans="2:8" ht="24.95" customHeight="1">
      <c r="C67" s="610" t="s">
        <v>58</v>
      </c>
      <c r="D67" s="611"/>
      <c r="E67" s="611"/>
      <c r="F67" s="612"/>
    </row>
    <row r="68" spans="2:8" ht="24.95" customHeight="1">
      <c r="C68" s="57" t="s">
        <v>59</v>
      </c>
      <c r="D68" s="58"/>
      <c r="E68" s="59"/>
      <c r="F68" s="60">
        <v>2</v>
      </c>
    </row>
    <row r="69" spans="2:8" ht="24.95" customHeight="1">
      <c r="C69" s="57" t="s">
        <v>60</v>
      </c>
      <c r="D69" s="58"/>
      <c r="E69" s="59"/>
      <c r="F69" s="60">
        <v>0</v>
      </c>
    </row>
    <row r="70" spans="2:8" ht="24.95" customHeight="1">
      <c r="C70" s="613" t="s">
        <v>47</v>
      </c>
      <c r="D70" s="614"/>
      <c r="E70" s="615"/>
      <c r="F70" s="62" t="s">
        <v>48</v>
      </c>
    </row>
    <row r="71" spans="2:8" ht="24.95" customHeight="1">
      <c r="B71" s="6"/>
      <c r="C71" s="63"/>
      <c r="D71" s="63"/>
      <c r="E71" s="63" t="s">
        <v>15</v>
      </c>
      <c r="F71" s="64">
        <f>10+F49+F52+F55+F60+F65+F68</f>
        <v>24</v>
      </c>
      <c r="H71" s="6"/>
    </row>
    <row r="72" spans="2:8" ht="20.100000000000001" customHeight="1"/>
  </sheetData>
  <mergeCells count="86">
    <mergeCell ref="B5:C5"/>
    <mergeCell ref="D5:G5"/>
    <mergeCell ref="A1:R1"/>
    <mergeCell ref="B3:C3"/>
    <mergeCell ref="D3:G3"/>
    <mergeCell ref="B4:C4"/>
    <mergeCell ref="D4:G4"/>
    <mergeCell ref="I6:R6"/>
    <mergeCell ref="B7:H7"/>
    <mergeCell ref="I7:J7"/>
    <mergeCell ref="K7:L7"/>
    <mergeCell ref="M7:N7"/>
    <mergeCell ref="O7:P7"/>
    <mergeCell ref="Q7:R7"/>
    <mergeCell ref="Q16:R16"/>
    <mergeCell ref="C8:D8"/>
    <mergeCell ref="A9:A14"/>
    <mergeCell ref="C9:D9"/>
    <mergeCell ref="C10:D10"/>
    <mergeCell ref="C11:D11"/>
    <mergeCell ref="C12:D12"/>
    <mergeCell ref="C13:D13"/>
    <mergeCell ref="C14:D14"/>
    <mergeCell ref="A15:A16"/>
    <mergeCell ref="B15:G15"/>
    <mergeCell ref="B16:G16"/>
    <mergeCell ref="I16:J16"/>
    <mergeCell ref="M16:N16"/>
    <mergeCell ref="M21:N21"/>
    <mergeCell ref="Q21:R21"/>
    <mergeCell ref="A17:A20"/>
    <mergeCell ref="B17:G17"/>
    <mergeCell ref="I17:J17"/>
    <mergeCell ref="Q17:R17"/>
    <mergeCell ref="B18:H19"/>
    <mergeCell ref="I18:J18"/>
    <mergeCell ref="M18:N18"/>
    <mergeCell ref="O18:P18"/>
    <mergeCell ref="Q18:R18"/>
    <mergeCell ref="B20:H20"/>
    <mergeCell ref="Q22:R22"/>
    <mergeCell ref="O21:P21"/>
    <mergeCell ref="B24:H25"/>
    <mergeCell ref="B26:H31"/>
    <mergeCell ref="I26:J26"/>
    <mergeCell ref="K26:L26"/>
    <mergeCell ref="M26:N26"/>
    <mergeCell ref="Q26:R26"/>
    <mergeCell ref="B22:H23"/>
    <mergeCell ref="I22:J22"/>
    <mergeCell ref="K22:L22"/>
    <mergeCell ref="M22:N22"/>
    <mergeCell ref="O22:P22"/>
    <mergeCell ref="B21:H21"/>
    <mergeCell ref="I21:J21"/>
    <mergeCell ref="K21:L21"/>
    <mergeCell ref="Q32:R32"/>
    <mergeCell ref="O26:P26"/>
    <mergeCell ref="O36:P36"/>
    <mergeCell ref="Q36:R36"/>
    <mergeCell ref="B34:H35"/>
    <mergeCell ref="I34:J34"/>
    <mergeCell ref="K34:L34"/>
    <mergeCell ref="M34:N34"/>
    <mergeCell ref="O34:P34"/>
    <mergeCell ref="Q34:R34"/>
    <mergeCell ref="B32:H33"/>
    <mergeCell ref="I32:J32"/>
    <mergeCell ref="K32:L32"/>
    <mergeCell ref="M32:N32"/>
    <mergeCell ref="O32:P32"/>
    <mergeCell ref="C51:E51"/>
    <mergeCell ref="B36:H37"/>
    <mergeCell ref="I36:J36"/>
    <mergeCell ref="K36:L36"/>
    <mergeCell ref="M36:N36"/>
    <mergeCell ref="B40:H40"/>
    <mergeCell ref="B41:H41"/>
    <mergeCell ref="B42:H42"/>
    <mergeCell ref="C47:E47"/>
    <mergeCell ref="C48:E48"/>
    <mergeCell ref="C54:E54"/>
    <mergeCell ref="C59:E59"/>
    <mergeCell ref="C64:E64"/>
    <mergeCell ref="C67:F67"/>
    <mergeCell ref="C70:E70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C6A0-25B5-47B4-B69B-2F19C3742654}">
  <sheetPr>
    <tabColor theme="0" tint="-4.9989318521683403E-2"/>
  </sheetPr>
  <dimension ref="A1:V72"/>
  <sheetViews>
    <sheetView topLeftCell="A3" zoomScale="60" zoomScaleNormal="60" workbookViewId="0">
      <pane ySplit="5" topLeftCell="A14" activePane="bottomLeft" state="frozen"/>
      <selection activeCell="G3" sqref="G3"/>
      <selection pane="bottomLeft" activeCell="J37" sqref="J37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93.62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6" width="25.625" style="5" customWidth="1"/>
    <col min="17" max="17" width="22.5" style="5" customWidth="1"/>
    <col min="18" max="22" width="25.625" style="5" customWidth="1"/>
    <col min="23" max="16384" width="11.5" style="5"/>
  </cols>
  <sheetData>
    <row r="1" spans="1:22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</row>
    <row r="2" spans="1:22" ht="20.25" customHeight="1" thickBot="1"/>
    <row r="3" spans="1:22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2"/>
      <c r="L3" s="22"/>
      <c r="M3" s="21" t="s">
        <v>5</v>
      </c>
      <c r="N3" s="23">
        <v>1</v>
      </c>
      <c r="O3" s="24"/>
      <c r="P3" s="24"/>
      <c r="Q3" s="24"/>
      <c r="R3" s="24"/>
    </row>
    <row r="4" spans="1:22" ht="63" customHeight="1">
      <c r="A4" s="25"/>
      <c r="B4" s="690" t="s">
        <v>6</v>
      </c>
      <c r="C4" s="690"/>
      <c r="D4" s="691" t="s">
        <v>114</v>
      </c>
      <c r="E4" s="691"/>
      <c r="F4" s="691"/>
      <c r="G4" s="691"/>
      <c r="H4" s="22"/>
      <c r="I4" s="26"/>
      <c r="J4" s="81"/>
      <c r="K4" s="81"/>
      <c r="L4" s="81"/>
      <c r="M4" s="22"/>
      <c r="N4" s="22"/>
      <c r="O4" s="82"/>
      <c r="P4" s="204">
        <f>(3*850)/2301</f>
        <v>1.1082138200782268</v>
      </c>
      <c r="Q4" s="204">
        <f>22500/2301</f>
        <v>9.7783572359843554</v>
      </c>
      <c r="R4" s="204">
        <f>2500/2301</f>
        <v>1.086484137331595</v>
      </c>
    </row>
    <row r="5" spans="1:22" ht="18" customHeigh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22" ht="18" customHeight="1" thickBot="1">
      <c r="A6" s="6"/>
      <c r="B6" s="6"/>
      <c r="C6" s="6"/>
      <c r="D6" s="6"/>
      <c r="E6" s="6"/>
      <c r="F6" s="6"/>
      <c r="G6" s="6"/>
      <c r="H6" s="6"/>
      <c r="I6" s="693"/>
      <c r="J6" s="694"/>
      <c r="K6" s="694"/>
      <c r="L6" s="694"/>
      <c r="M6" s="694"/>
      <c r="N6" s="694"/>
      <c r="O6" s="694"/>
      <c r="P6" s="694"/>
      <c r="Q6" s="694"/>
      <c r="R6" s="694"/>
      <c r="S6" s="694"/>
      <c r="T6" s="694"/>
      <c r="U6" s="694"/>
      <c r="V6" s="694"/>
    </row>
    <row r="7" spans="1:22" ht="62.25" customHeight="1" thickBot="1">
      <c r="B7" s="695" t="s">
        <v>8</v>
      </c>
      <c r="C7" s="696"/>
      <c r="D7" s="696"/>
      <c r="E7" s="696"/>
      <c r="F7" s="696"/>
      <c r="G7" s="696"/>
      <c r="H7" s="735"/>
      <c r="I7" s="697" t="s">
        <v>115</v>
      </c>
      <c r="J7" s="698"/>
      <c r="K7" s="697" t="s">
        <v>116</v>
      </c>
      <c r="L7" s="698"/>
      <c r="M7" s="697" t="s">
        <v>162</v>
      </c>
      <c r="N7" s="698"/>
      <c r="O7" s="697" t="s">
        <v>117</v>
      </c>
      <c r="P7" s="698"/>
      <c r="Q7" s="697" t="s">
        <v>118</v>
      </c>
      <c r="R7" s="698"/>
      <c r="S7" s="697" t="s">
        <v>102</v>
      </c>
      <c r="T7" s="766"/>
      <c r="U7" s="697" t="s">
        <v>103</v>
      </c>
      <c r="V7" s="698"/>
    </row>
    <row r="8" spans="1:22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9" t="s">
        <v>15</v>
      </c>
      <c r="I8" s="18" t="s">
        <v>14</v>
      </c>
      <c r="J8" s="19" t="s">
        <v>15</v>
      </c>
      <c r="K8" s="162" t="s">
        <v>14</v>
      </c>
      <c r="L8" s="163" t="s">
        <v>15</v>
      </c>
      <c r="M8" s="18" t="s">
        <v>14</v>
      </c>
      <c r="N8" s="19" t="s">
        <v>15</v>
      </c>
      <c r="O8" s="18" t="s">
        <v>14</v>
      </c>
      <c r="P8" s="19" t="s">
        <v>15</v>
      </c>
      <c r="Q8" s="162" t="s">
        <v>14</v>
      </c>
      <c r="R8" s="163" t="s">
        <v>15</v>
      </c>
      <c r="S8" s="18" t="s">
        <v>14</v>
      </c>
      <c r="T8" s="160" t="s">
        <v>15</v>
      </c>
      <c r="U8" s="18" t="s">
        <v>14</v>
      </c>
      <c r="V8" s="19" t="s">
        <v>15</v>
      </c>
    </row>
    <row r="9" spans="1:22" ht="45.75" customHeight="1">
      <c r="A9" s="679"/>
      <c r="B9" s="83">
        <v>1</v>
      </c>
      <c r="C9" s="763" t="s">
        <v>119</v>
      </c>
      <c r="D9" s="764"/>
      <c r="E9" s="267" t="s">
        <v>120</v>
      </c>
      <c r="F9" s="268">
        <v>8</v>
      </c>
      <c r="G9" s="269">
        <v>14818.46</v>
      </c>
      <c r="H9" s="270">
        <f>G9*F9</f>
        <v>118547.68</v>
      </c>
      <c r="I9" s="271">
        <f>(230*60.2)*1.18</f>
        <v>16338.279999999999</v>
      </c>
      <c r="J9" s="272">
        <f>F9*I9</f>
        <v>130706.23999999999</v>
      </c>
      <c r="K9" s="511">
        <f>269.22*(1.018)*60.2</f>
        <v>16498.770792000003</v>
      </c>
      <c r="L9" s="213">
        <f>F9*K9</f>
        <v>131990.16633600002</v>
      </c>
      <c r="M9" s="214">
        <v>15500</v>
      </c>
      <c r="N9" s="215">
        <f>F9*M9</f>
        <v>124000</v>
      </c>
      <c r="O9" s="275">
        <f>(139.5+45+P4+Q4+R4)*60.2*1.38</f>
        <v>16322.195533246411</v>
      </c>
      <c r="P9" s="276">
        <f>F9*O9</f>
        <v>130577.56426597129</v>
      </c>
      <c r="Q9" s="218">
        <f>258.63*60.2</f>
        <v>15569.526</v>
      </c>
      <c r="R9" s="221">
        <f>F9*Q9</f>
        <v>124556.208</v>
      </c>
      <c r="S9" s="275">
        <f>((262.03+21.93)*60.2)*1.18</f>
        <v>20171.382559999998</v>
      </c>
      <c r="T9" s="277">
        <f>F9*S9</f>
        <v>161371.06047999999</v>
      </c>
      <c r="U9" s="275">
        <f>((218.3+13.51+82.6+1.79)*60.2)</f>
        <v>19035.240000000002</v>
      </c>
      <c r="V9" s="276">
        <f>F9*U9</f>
        <v>152281.92000000001</v>
      </c>
    </row>
    <row r="10" spans="1:22" ht="48" customHeight="1">
      <c r="A10" s="679"/>
      <c r="B10" s="83">
        <v>2</v>
      </c>
      <c r="C10" s="763" t="s">
        <v>121</v>
      </c>
      <c r="D10" s="764"/>
      <c r="E10" s="267" t="s">
        <v>120</v>
      </c>
      <c r="F10" s="268">
        <v>12</v>
      </c>
      <c r="G10" s="269">
        <v>14228.46</v>
      </c>
      <c r="H10" s="270">
        <f>G10*F10</f>
        <v>170741.52</v>
      </c>
      <c r="I10" s="278">
        <f>(230*60.2)*1.18</f>
        <v>16338.279999999999</v>
      </c>
      <c r="J10" s="276">
        <f t="shared" ref="J10:J11" si="0">F10*I10</f>
        <v>196059.36</v>
      </c>
      <c r="K10" s="336">
        <f>255.67*(1.018)*60.2</f>
        <v>15668.378012000001</v>
      </c>
      <c r="L10" s="222">
        <f t="shared" ref="L10:L11" si="1">F10*K10</f>
        <v>188020.53614400001</v>
      </c>
      <c r="M10" s="214">
        <v>14500</v>
      </c>
      <c r="N10" s="215">
        <f t="shared" ref="N10:N12" si="2">F10*M10</f>
        <v>174000</v>
      </c>
      <c r="O10" s="275">
        <f>(129+45+P4+Q4+R4)*60.2*1.38</f>
        <v>15449.897533246411</v>
      </c>
      <c r="P10" s="276">
        <f>F10*O10</f>
        <v>185398.77039895693</v>
      </c>
      <c r="Q10" s="218">
        <f>259*60.2</f>
        <v>15591.800000000001</v>
      </c>
      <c r="R10" s="221">
        <f>F10*Q10</f>
        <v>187101.6</v>
      </c>
      <c r="S10" s="275">
        <f>((230.72+21.93)*60.2)*1.18</f>
        <v>17947.2454</v>
      </c>
      <c r="T10" s="277">
        <f>F10*S10</f>
        <v>215366.9448</v>
      </c>
      <c r="U10" s="275">
        <f t="shared" ref="U10:U11" si="3">((218.3+13.51+82.6+1.79)*60.2)</f>
        <v>19035.240000000002</v>
      </c>
      <c r="V10" s="276">
        <f>F10*U10</f>
        <v>228422.88</v>
      </c>
    </row>
    <row r="11" spans="1:22" ht="48" customHeight="1">
      <c r="A11" s="679"/>
      <c r="B11" s="83">
        <v>3</v>
      </c>
      <c r="C11" s="763" t="s">
        <v>122</v>
      </c>
      <c r="D11" s="764"/>
      <c r="E11" s="267" t="s">
        <v>120</v>
      </c>
      <c r="F11" s="268">
        <v>12</v>
      </c>
      <c r="G11" s="269">
        <v>14228.46</v>
      </c>
      <c r="H11" s="270">
        <f>G11*F11</f>
        <v>170741.52</v>
      </c>
      <c r="I11" s="278">
        <f>(230*60.2)*1.18</f>
        <v>16338.279999999999</v>
      </c>
      <c r="J11" s="276">
        <f t="shared" si="0"/>
        <v>196059.36</v>
      </c>
      <c r="K11" s="336">
        <f>254.78*(1.018)*60.2</f>
        <v>15613.835608000001</v>
      </c>
      <c r="L11" s="222">
        <f t="shared" si="1"/>
        <v>187366.02729600001</v>
      </c>
      <c r="M11" s="214">
        <v>14500</v>
      </c>
      <c r="N11" s="215">
        <f t="shared" si="2"/>
        <v>174000</v>
      </c>
      <c r="O11" s="275">
        <f>(121+50+P4+Q4+R4)*60.2*1.38</f>
        <v>15200.669533246413</v>
      </c>
      <c r="P11" s="276">
        <f>F11*O11</f>
        <v>182408.03439895695</v>
      </c>
      <c r="Q11" s="218">
        <f>259*60.2</f>
        <v>15591.800000000001</v>
      </c>
      <c r="R11" s="221">
        <f>F11*Q11</f>
        <v>187101.6</v>
      </c>
      <c r="S11" s="275">
        <f>((228.49+21.93)*60.2)*1.18</f>
        <v>17788.83512</v>
      </c>
      <c r="T11" s="277">
        <f>F11*S11</f>
        <v>213466.02143999998</v>
      </c>
      <c r="U11" s="275">
        <f t="shared" si="3"/>
        <v>19035.240000000002</v>
      </c>
      <c r="V11" s="276">
        <f>F11*U11</f>
        <v>228422.88</v>
      </c>
    </row>
    <row r="12" spans="1:22" ht="48" customHeight="1">
      <c r="A12" s="679"/>
      <c r="B12" s="83">
        <v>4</v>
      </c>
      <c r="C12" s="750" t="s">
        <v>161</v>
      </c>
      <c r="D12" s="765"/>
      <c r="E12" s="84" t="s">
        <v>50</v>
      </c>
      <c r="F12" s="84">
        <v>6</v>
      </c>
      <c r="G12" s="151"/>
      <c r="H12" s="85"/>
      <c r="I12" s="90">
        <v>4500</v>
      </c>
      <c r="J12" s="172">
        <f>F12*I12</f>
        <v>27000</v>
      </c>
      <c r="K12" s="173">
        <v>4500</v>
      </c>
      <c r="L12" s="101">
        <f>F12*K12</f>
        <v>27000</v>
      </c>
      <c r="M12" s="90">
        <v>4500</v>
      </c>
      <c r="N12" s="215">
        <f t="shared" si="2"/>
        <v>27000</v>
      </c>
      <c r="O12" s="157">
        <f>I12</f>
        <v>4500</v>
      </c>
      <c r="P12" s="276">
        <f>F12*O12</f>
        <v>27000</v>
      </c>
      <c r="Q12" s="90">
        <f>I12</f>
        <v>4500</v>
      </c>
      <c r="R12" s="221">
        <f>F12*Q12</f>
        <v>27000</v>
      </c>
      <c r="S12" s="17">
        <f>I12</f>
        <v>4500</v>
      </c>
      <c r="T12" s="277">
        <f>F12*S12</f>
        <v>27000</v>
      </c>
      <c r="U12" s="17">
        <f>I12</f>
        <v>4500</v>
      </c>
      <c r="V12" s="276">
        <f>F12*U12</f>
        <v>27000</v>
      </c>
    </row>
    <row r="13" spans="1:22" ht="48" customHeight="1">
      <c r="A13" s="679"/>
      <c r="B13" s="83"/>
      <c r="C13" s="750"/>
      <c r="D13" s="765"/>
      <c r="E13" s="84"/>
      <c r="F13" s="84"/>
      <c r="G13" s="151"/>
      <c r="H13" s="85"/>
      <c r="I13" s="90"/>
      <c r="J13" s="172"/>
      <c r="K13" s="173"/>
      <c r="L13" s="101"/>
      <c r="M13" s="90"/>
      <c r="N13" s="155"/>
      <c r="O13" s="157"/>
      <c r="P13" s="16"/>
      <c r="Q13" s="90"/>
      <c r="R13" s="172"/>
      <c r="S13" s="17"/>
      <c r="T13" s="281"/>
      <c r="U13" s="17"/>
      <c r="V13" s="16"/>
    </row>
    <row r="14" spans="1:22" ht="48" customHeight="1" thickBot="1">
      <c r="A14" s="679"/>
      <c r="B14" s="83"/>
      <c r="C14" s="750"/>
      <c r="D14" s="765"/>
      <c r="E14" s="84"/>
      <c r="F14" s="84"/>
      <c r="G14" s="156"/>
      <c r="H14" s="85"/>
      <c r="I14" s="90"/>
      <c r="J14" s="172"/>
      <c r="K14" s="173"/>
      <c r="L14" s="282"/>
      <c r="M14" s="90"/>
      <c r="N14" s="155"/>
      <c r="O14" s="157"/>
      <c r="P14" s="16"/>
      <c r="Q14" s="90"/>
      <c r="R14" s="356"/>
      <c r="S14" s="17"/>
      <c r="T14" s="281"/>
      <c r="U14" s="17"/>
      <c r="V14" s="16"/>
    </row>
    <row r="15" spans="1:22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97">
        <f>SUM(H9:H14)</f>
        <v>460030.71999999997</v>
      </c>
      <c r="I15" s="283"/>
      <c r="J15" s="88">
        <f>SUM(J9:J14)</f>
        <v>549824.96</v>
      </c>
      <c r="K15" s="237"/>
      <c r="L15" s="88">
        <f>SUM(L9:L14)</f>
        <v>534376.72977600002</v>
      </c>
      <c r="M15" s="94"/>
      <c r="N15" s="93">
        <f>SUM(N9:N14)</f>
        <v>499000</v>
      </c>
      <c r="O15" s="95"/>
      <c r="P15" s="96">
        <f>SUM(P9:P14)</f>
        <v>525384.36906388518</v>
      </c>
      <c r="Q15" s="92"/>
      <c r="R15" s="93">
        <f>SUM(R9:R13)</f>
        <v>525759.40800000005</v>
      </c>
      <c r="S15" s="92"/>
      <c r="T15" s="92">
        <f>SUM(T9:T14)</f>
        <v>617204.02671999997</v>
      </c>
      <c r="U15" s="92"/>
      <c r="V15" s="93">
        <f>SUM(V9:V14)</f>
        <v>636127.68000000005</v>
      </c>
    </row>
    <row r="16" spans="1:22" ht="25.5" customHeight="1">
      <c r="A16" s="665"/>
      <c r="B16" s="669" t="s">
        <v>49</v>
      </c>
      <c r="C16" s="670"/>
      <c r="D16" s="670"/>
      <c r="E16" s="670"/>
      <c r="F16" s="670"/>
      <c r="G16" s="670"/>
      <c r="H16" s="37"/>
      <c r="I16" s="671">
        <f>I15*0.18</f>
        <v>0</v>
      </c>
      <c r="J16" s="672"/>
      <c r="K16" s="512"/>
      <c r="L16" s="512">
        <v>0</v>
      </c>
      <c r="M16" s="673">
        <f>0.18*M15</f>
        <v>0</v>
      </c>
      <c r="N16" s="672"/>
      <c r="O16" s="77">
        <v>0</v>
      </c>
      <c r="P16" s="89"/>
      <c r="Q16" s="761"/>
      <c r="R16" s="762"/>
      <c r="S16" s="671"/>
      <c r="T16" s="755"/>
      <c r="U16" s="671"/>
      <c r="V16" s="672"/>
    </row>
    <row r="17" spans="1:22" ht="22.5" customHeigh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40">
        <f>H15+H16</f>
        <v>460030.71999999997</v>
      </c>
      <c r="I17" s="732">
        <f>J15</f>
        <v>549824.96</v>
      </c>
      <c r="J17" s="676"/>
      <c r="K17" s="513"/>
      <c r="L17" s="514">
        <f>L15</f>
        <v>534376.72977600002</v>
      </c>
      <c r="M17" s="677">
        <f>N15</f>
        <v>499000</v>
      </c>
      <c r="N17" s="678"/>
      <c r="O17" s="78"/>
      <c r="P17" s="78">
        <f>P15+P16</f>
        <v>525384.36906388518</v>
      </c>
      <c r="Q17" s="758">
        <f>R15</f>
        <v>525759.40800000005</v>
      </c>
      <c r="R17" s="759"/>
      <c r="S17" s="741">
        <f>T15</f>
        <v>617204.02671999997</v>
      </c>
      <c r="T17" s="760"/>
      <c r="U17" s="741">
        <f>V15</f>
        <v>636127.68000000005</v>
      </c>
      <c r="V17" s="742"/>
    </row>
    <row r="18" spans="1:22" ht="27" customHeight="1">
      <c r="A18" s="665"/>
      <c r="B18" s="647" t="s">
        <v>20</v>
      </c>
      <c r="C18" s="648"/>
      <c r="D18" s="648"/>
      <c r="E18" s="648"/>
      <c r="F18" s="648"/>
      <c r="G18" s="648"/>
      <c r="H18" s="733"/>
      <c r="I18" s="646"/>
      <c r="J18" s="645"/>
      <c r="K18" s="161"/>
      <c r="L18" s="161"/>
      <c r="M18" s="646"/>
      <c r="N18" s="645"/>
      <c r="O18" s="634"/>
      <c r="P18" s="635"/>
      <c r="Q18" s="743"/>
      <c r="R18" s="744"/>
      <c r="S18" s="743"/>
      <c r="T18" s="754"/>
      <c r="U18" s="743"/>
      <c r="V18" s="744"/>
    </row>
    <row r="19" spans="1:22" ht="23.25" customHeight="1">
      <c r="A19" s="665"/>
      <c r="B19" s="647"/>
      <c r="C19" s="648"/>
      <c r="D19" s="648"/>
      <c r="E19" s="648"/>
      <c r="F19" s="648"/>
      <c r="G19" s="648"/>
      <c r="H19" s="733"/>
      <c r="I19" s="49" t="s">
        <v>21</v>
      </c>
      <c r="J19" s="148">
        <v>3</v>
      </c>
      <c r="K19" s="49" t="s">
        <v>21</v>
      </c>
      <c r="L19" s="148">
        <v>5</v>
      </c>
      <c r="M19" s="149" t="s">
        <v>21</v>
      </c>
      <c r="N19" s="148">
        <v>1</v>
      </c>
      <c r="O19" s="149" t="s">
        <v>21</v>
      </c>
      <c r="P19" s="148">
        <v>4</v>
      </c>
      <c r="Q19" s="147" t="s">
        <v>21</v>
      </c>
      <c r="R19" s="148">
        <v>2</v>
      </c>
      <c r="S19" s="147" t="s">
        <v>21</v>
      </c>
      <c r="T19" s="284">
        <v>7</v>
      </c>
      <c r="U19" s="285" t="s">
        <v>21</v>
      </c>
      <c r="V19" s="243">
        <v>6</v>
      </c>
    </row>
    <row r="20" spans="1:22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733"/>
      <c r="I20" s="102" t="s">
        <v>23</v>
      </c>
      <c r="J20" s="103">
        <f>IF(OR($H$17=0,I17=0),"-",I17-$H$17)</f>
        <v>89794.239999999991</v>
      </c>
      <c r="K20" s="102" t="s">
        <v>23</v>
      </c>
      <c r="L20" s="103">
        <f>IF(OR($H$17=0,L17=0),"-",L17-$H$17)</f>
        <v>74346.00977600005</v>
      </c>
      <c r="M20" s="102" t="s">
        <v>23</v>
      </c>
      <c r="N20" s="103">
        <f>IF(OR($H$17=0,M17=0),"-",M17-$H$17)</f>
        <v>38969.280000000028</v>
      </c>
      <c r="O20" s="102" t="s">
        <v>23</v>
      </c>
      <c r="P20" s="103">
        <f>IF(OR($H$17=0,P17=0),"-",P17-$H$17)</f>
        <v>65353.649063885212</v>
      </c>
      <c r="Q20" s="102" t="s">
        <v>23</v>
      </c>
      <c r="R20" s="103">
        <f>Q17-H17</f>
        <v>65728.688000000082</v>
      </c>
      <c r="S20" s="102" t="s">
        <v>23</v>
      </c>
      <c r="T20" s="183">
        <f>S17-H17</f>
        <v>157173.30671999999</v>
      </c>
      <c r="U20" s="102" t="s">
        <v>23</v>
      </c>
      <c r="V20" s="103">
        <f>U17-H17</f>
        <v>176096.96000000008</v>
      </c>
    </row>
    <row r="21" spans="1:22" ht="24.95" customHeight="1">
      <c r="A21" s="7"/>
      <c r="B21" s="650" t="s">
        <v>51</v>
      </c>
      <c r="C21" s="651"/>
      <c r="D21" s="651"/>
      <c r="E21" s="651"/>
      <c r="F21" s="651"/>
      <c r="G21" s="651"/>
      <c r="H21" s="727"/>
      <c r="I21" s="738">
        <f>J20*77</f>
        <v>6914156.4799999995</v>
      </c>
      <c r="J21" s="654"/>
      <c r="K21" s="657">
        <f>L20*77</f>
        <v>5724642.7527520042</v>
      </c>
      <c r="L21" s="658"/>
      <c r="M21" s="739">
        <f>N20*77</f>
        <v>3000634.5600000024</v>
      </c>
      <c r="N21" s="740"/>
      <c r="O21" s="657">
        <f>P20*77</f>
        <v>5032230.9779191613</v>
      </c>
      <c r="P21" s="658"/>
      <c r="Q21" s="655">
        <f>R20*77</f>
        <v>5061108.9760000063</v>
      </c>
      <c r="R21" s="656"/>
      <c r="S21" s="657">
        <f>T20*77</f>
        <v>12102344.61744</v>
      </c>
      <c r="T21" s="756"/>
      <c r="U21" s="657">
        <f>V20*77</f>
        <v>13559465.920000006</v>
      </c>
      <c r="V21" s="658"/>
    </row>
    <row r="22" spans="1:22" ht="24.95" customHeight="1">
      <c r="A22" s="7"/>
      <c r="B22" s="621" t="s">
        <v>20</v>
      </c>
      <c r="C22" s="622"/>
      <c r="D22" s="622"/>
      <c r="E22" s="622"/>
      <c r="F22" s="622"/>
      <c r="G22" s="622"/>
      <c r="H22" s="713"/>
      <c r="I22" s="663" t="str">
        <f>IF(OR($H$17=0,I17=0),"",IF(I17&lt;=$H$17,$C$49,$C$50))</f>
        <v>Precio mayor al presupuesto</v>
      </c>
      <c r="J22" s="660"/>
      <c r="K22" s="661" t="str">
        <f>IF(OR($H$17=0,L17=0),"",IF(L17&lt;=$H$17,$C$49,$C$50))</f>
        <v>Precio mayor al presupuesto</v>
      </c>
      <c r="L22" s="662"/>
      <c r="M22" s="663" t="str">
        <f>IF(OR($H$17=0,M17=0),"",IF(M17&lt;=$H$17,$C$49,$C$50))</f>
        <v>Precio mayor al presupuesto</v>
      </c>
      <c r="N22" s="660"/>
      <c r="O22" s="663" t="str">
        <f>IF(OR($H$17=0,P17=0),"",IF(P17&lt;=$H$17,$C$49,$C$50))</f>
        <v>Precio mayor al presupuesto</v>
      </c>
      <c r="P22" s="660"/>
      <c r="Q22" s="663" t="str">
        <f t="shared" ref="Q22:S22" si="4">IF(OR($H$17=0,Q17=0),"",IF(Q17&lt;=$H$17,$C$49,$C$50))</f>
        <v>Precio mayor al presupuesto</v>
      </c>
      <c r="R22" s="660"/>
      <c r="S22" s="663" t="str">
        <f t="shared" si="4"/>
        <v>Precio mayor al presupuesto</v>
      </c>
      <c r="T22" s="663"/>
      <c r="U22" s="659" t="str">
        <f t="shared" ref="U22" si="5">IF(OR($H$17=0,U17=0),"",IF(U17&lt;=$H$17,$C$49,$C$50))</f>
        <v>Precio mayor al presupuesto</v>
      </c>
      <c r="V22" s="660"/>
    </row>
    <row r="23" spans="1:22" ht="24.95" customHeight="1">
      <c r="A23" s="7"/>
      <c r="B23" s="621"/>
      <c r="C23" s="622"/>
      <c r="D23" s="622"/>
      <c r="E23" s="622"/>
      <c r="F23" s="622"/>
      <c r="G23" s="622"/>
      <c r="H23" s="713"/>
      <c r="I23" s="108" t="s">
        <v>21</v>
      </c>
      <c r="J23" s="109">
        <f>IF(I22=$C$49,$F$49,0)</f>
        <v>0</v>
      </c>
      <c r="K23" s="245" t="s">
        <v>21</v>
      </c>
      <c r="L23" s="245">
        <f>IF(K22=$C$49,$F$49,0)</f>
        <v>0</v>
      </c>
      <c r="M23" s="108" t="s">
        <v>21</v>
      </c>
      <c r="N23" s="109">
        <f>IF(M22=$C$49,$F$49,0)</f>
        <v>0</v>
      </c>
      <c r="O23" s="108" t="s">
        <v>21</v>
      </c>
      <c r="P23" s="109">
        <f>IF(O22=$C$49,$F$49,0)</f>
        <v>0</v>
      </c>
      <c r="Q23" s="108" t="s">
        <v>21</v>
      </c>
      <c r="R23" s="109">
        <f>IF(Q22=$C$49,$F$49,0)</f>
        <v>0</v>
      </c>
      <c r="S23" s="108" t="s">
        <v>21</v>
      </c>
      <c r="T23" s="245">
        <f>IF(S22=$C$49,$F$49,0)</f>
        <v>0</v>
      </c>
      <c r="U23" s="244" t="s">
        <v>21</v>
      </c>
      <c r="V23" s="109">
        <f>IF(U22=$C$49,$F$49,0)</f>
        <v>0</v>
      </c>
    </row>
    <row r="24" spans="1:22" ht="24.95" customHeight="1">
      <c r="A24" s="7"/>
      <c r="B24" s="621" t="s">
        <v>22</v>
      </c>
      <c r="C24" s="622"/>
      <c r="D24" s="622"/>
      <c r="E24" s="622"/>
      <c r="F24" s="622"/>
      <c r="G24" s="622"/>
      <c r="H24" s="713"/>
      <c r="I24" s="108" t="s">
        <v>23</v>
      </c>
      <c r="J24" s="101">
        <f>IF(OR($H$17=0,I17=0),"-",I17-$H$17)</f>
        <v>89794.239999999991</v>
      </c>
      <c r="K24" s="246" t="s">
        <v>23</v>
      </c>
      <c r="L24" s="246">
        <f>IF(OR($H$17=0,L17=0),"-",L17-$H$17)</f>
        <v>74346.00977600005</v>
      </c>
      <c r="M24" s="108" t="s">
        <v>23</v>
      </c>
      <c r="N24" s="101">
        <f>IF(OR($H$17=0,M17=0),"-",M17-$H$17)</f>
        <v>38969.280000000028</v>
      </c>
      <c r="O24" s="108" t="s">
        <v>23</v>
      </c>
      <c r="P24" s="101">
        <f>IF(OR($H$17=0,P17=0),"-",P17-$H$17)</f>
        <v>65353.649063885212</v>
      </c>
      <c r="Q24" s="108" t="s">
        <v>23</v>
      </c>
      <c r="R24" s="101">
        <f>IF(OR($H$17=0,Q17=0),"-",Q17-$H$17)</f>
        <v>65728.688000000082</v>
      </c>
      <c r="S24" s="108" t="s">
        <v>23</v>
      </c>
      <c r="T24" s="246">
        <f>IF(OR($H$17=0,S17=0),"-",S17-$H$17)</f>
        <v>157173.30671999999</v>
      </c>
      <c r="U24" s="244" t="s">
        <v>23</v>
      </c>
      <c r="V24" s="101">
        <f>IF(OR($H$17=0,U17=0),"-",U17-$H$17)</f>
        <v>176096.96000000008</v>
      </c>
    </row>
    <row r="25" spans="1:22" ht="34.5" customHeight="1">
      <c r="A25" s="7"/>
      <c r="B25" s="621"/>
      <c r="C25" s="622"/>
      <c r="D25" s="622"/>
      <c r="E25" s="622"/>
      <c r="F25" s="622"/>
      <c r="G25" s="622"/>
      <c r="H25" s="713"/>
      <c r="I25" s="111" t="s">
        <v>21</v>
      </c>
      <c r="J25" s="50">
        <f>IF(AND(J24&lt;N24,J24&lt;P24,J24&lt;R24,J24&lt;T24,J24&lt;V24,J24&lt;L24),2,0)</f>
        <v>0</v>
      </c>
      <c r="K25" s="247" t="s">
        <v>21</v>
      </c>
      <c r="L25" s="247">
        <f>IF(AND(L24&lt;P24,L24&lt;R24,L24&lt;T24,L24&lt;V24,L24&lt;J24,L24&lt;N24),2,0)</f>
        <v>0</v>
      </c>
      <c r="M25" s="110" t="s">
        <v>21</v>
      </c>
      <c r="N25" s="50">
        <f>IF(AND(N24&lt;R24,N24&lt;T24,N24&lt;V24,N24&lt;J24,N24&lt;L24,N24&lt;P24),2,0)</f>
        <v>2</v>
      </c>
      <c r="O25" s="105" t="s">
        <v>21</v>
      </c>
      <c r="P25" s="50">
        <f>IF(AND(P24&lt;R24,P24&lt;N24,P24&lt;J24,P24&lt;T24,P24&lt;V24,P24&lt;L24),2,0)</f>
        <v>0</v>
      </c>
      <c r="Q25" s="105" t="s">
        <v>21</v>
      </c>
      <c r="R25" s="50">
        <f>IF(AND(R24&lt;J24,R24&lt;P24,R24&lt;N24,R24&lt;T24,R24&lt;V24,R24&lt;L24),2,0)</f>
        <v>0</v>
      </c>
      <c r="S25" s="105" t="s">
        <v>21</v>
      </c>
      <c r="T25" s="247">
        <f>IF(AND(T24&lt;N24,T24&lt;R24,T24&lt;P24,T24&lt;J24,T24&lt;V24,T24&lt;L24),2,0)</f>
        <v>0</v>
      </c>
      <c r="U25" s="286" t="s">
        <v>21</v>
      </c>
      <c r="V25" s="50">
        <f>IF(AND(V24&lt;P24,V24&lt;T24,V24&lt;R24,V24&lt;J24,V24&lt;N24,V24&lt;L24),2,0)</f>
        <v>0</v>
      </c>
    </row>
    <row r="26" spans="1:22" ht="34.5" customHeight="1">
      <c r="A26" s="7"/>
      <c r="B26" s="628" t="s">
        <v>53</v>
      </c>
      <c r="C26" s="629"/>
      <c r="D26" s="629"/>
      <c r="E26" s="629"/>
      <c r="F26" s="629"/>
      <c r="G26" s="629"/>
      <c r="H26" s="710"/>
      <c r="I26" s="642" t="str">
        <f>C56</f>
        <v>Por valuación de obra ejecutada con anticipo</v>
      </c>
      <c r="J26" s="643"/>
      <c r="K26" s="642" t="str">
        <f>C56</f>
        <v>Por valuación de obra ejecutada con anticipo</v>
      </c>
      <c r="L26" s="643"/>
      <c r="M26" s="642" t="str">
        <f>C56</f>
        <v>Por valuación de obra ejecutada con anticipo</v>
      </c>
      <c r="N26" s="643"/>
      <c r="O26" s="642" t="str">
        <f>C56</f>
        <v>Por valuación de obra ejecutada con anticipo</v>
      </c>
      <c r="P26" s="643"/>
      <c r="Q26" s="642" t="str">
        <f>C56</f>
        <v>Por valuación de obra ejecutada con anticipo</v>
      </c>
      <c r="R26" s="643"/>
      <c r="S26" s="642" t="str">
        <f>C56</f>
        <v>Por valuación de obra ejecutada con anticipo</v>
      </c>
      <c r="T26" s="757"/>
      <c r="U26" s="642" t="str">
        <f>C56</f>
        <v>Por valuación de obra ejecutada con anticipo</v>
      </c>
      <c r="V26" s="643"/>
    </row>
    <row r="27" spans="1:22" ht="24.95" customHeight="1">
      <c r="B27" s="638"/>
      <c r="C27" s="639"/>
      <c r="D27" s="639"/>
      <c r="E27" s="639"/>
      <c r="F27" s="639"/>
      <c r="G27" s="639"/>
      <c r="H27" s="711"/>
      <c r="I27" s="113" t="s">
        <v>21</v>
      </c>
      <c r="J27" s="114">
        <v>2</v>
      </c>
      <c r="K27" s="113" t="s">
        <v>21</v>
      </c>
      <c r="L27" s="114">
        <v>2</v>
      </c>
      <c r="M27" s="113" t="s">
        <v>21</v>
      </c>
      <c r="N27" s="114">
        <v>2</v>
      </c>
      <c r="O27" s="113" t="s">
        <v>21</v>
      </c>
      <c r="P27" s="114">
        <v>2</v>
      </c>
      <c r="Q27" s="113" t="s">
        <v>21</v>
      </c>
      <c r="R27" s="114">
        <v>2</v>
      </c>
      <c r="S27" s="113" t="s">
        <v>21</v>
      </c>
      <c r="T27" s="287">
        <v>2</v>
      </c>
      <c r="U27" s="113" t="s">
        <v>21</v>
      </c>
      <c r="V27" s="114">
        <v>2</v>
      </c>
    </row>
    <row r="28" spans="1:22" ht="24.95" customHeight="1">
      <c r="B28" s="638"/>
      <c r="C28" s="639"/>
      <c r="D28" s="639"/>
      <c r="E28" s="639"/>
      <c r="F28" s="639"/>
      <c r="G28" s="639"/>
      <c r="H28" s="711"/>
      <c r="I28" s="248" t="s">
        <v>110</v>
      </c>
      <c r="J28" s="249"/>
      <c r="K28" s="248" t="s">
        <v>110</v>
      </c>
      <c r="L28" s="249"/>
      <c r="M28" s="248" t="s">
        <v>110</v>
      </c>
      <c r="N28" s="250"/>
      <c r="O28" s="248" t="s">
        <v>110</v>
      </c>
      <c r="P28" s="114"/>
      <c r="Q28" s="248" t="s">
        <v>110</v>
      </c>
      <c r="R28" s="114"/>
      <c r="S28" s="248" t="s">
        <v>110</v>
      </c>
      <c r="T28" s="287"/>
      <c r="U28" s="248" t="s">
        <v>110</v>
      </c>
      <c r="V28" s="114"/>
    </row>
    <row r="29" spans="1:22" ht="24.95" customHeight="1">
      <c r="B29" s="638"/>
      <c r="C29" s="639"/>
      <c r="D29" s="639"/>
      <c r="E29" s="639"/>
      <c r="F29" s="639"/>
      <c r="G29" s="639"/>
      <c r="H29" s="711"/>
      <c r="I29" s="248" t="s">
        <v>111</v>
      </c>
      <c r="J29" s="249"/>
      <c r="K29" s="248" t="s">
        <v>111</v>
      </c>
      <c r="L29" s="251"/>
      <c r="M29" s="248" t="s">
        <v>111</v>
      </c>
      <c r="N29" s="250"/>
      <c r="O29" s="248" t="s">
        <v>111</v>
      </c>
      <c r="P29" s="114"/>
      <c r="Q29" s="248" t="s">
        <v>111</v>
      </c>
      <c r="R29" s="114"/>
      <c r="S29" s="248" t="s">
        <v>111</v>
      </c>
      <c r="T29" s="287"/>
      <c r="U29" s="248" t="s">
        <v>111</v>
      </c>
      <c r="V29" s="114"/>
    </row>
    <row r="30" spans="1:22" ht="24.95" customHeight="1">
      <c r="B30" s="638"/>
      <c r="C30" s="639"/>
      <c r="D30" s="639"/>
      <c r="E30" s="639"/>
      <c r="F30" s="639"/>
      <c r="G30" s="639"/>
      <c r="H30" s="711"/>
      <c r="I30" s="248" t="s">
        <v>112</v>
      </c>
      <c r="J30" s="249"/>
      <c r="K30" s="248" t="s">
        <v>112</v>
      </c>
      <c r="L30" s="251"/>
      <c r="M30" s="248" t="s">
        <v>112</v>
      </c>
      <c r="N30" s="250"/>
      <c r="O30" s="248" t="s">
        <v>112</v>
      </c>
      <c r="P30" s="114"/>
      <c r="Q30" s="248" t="s">
        <v>112</v>
      </c>
      <c r="R30" s="114"/>
      <c r="S30" s="248" t="s">
        <v>112</v>
      </c>
      <c r="T30" s="287"/>
      <c r="U30" s="248" t="s">
        <v>112</v>
      </c>
      <c r="V30" s="114"/>
    </row>
    <row r="31" spans="1:22" ht="24.95" customHeight="1">
      <c r="B31" s="640"/>
      <c r="C31" s="641"/>
      <c r="D31" s="641"/>
      <c r="E31" s="641"/>
      <c r="F31" s="641"/>
      <c r="G31" s="641"/>
      <c r="H31" s="712"/>
      <c r="I31" s="248" t="s">
        <v>113</v>
      </c>
      <c r="J31" s="249"/>
      <c r="K31" s="248" t="s">
        <v>113</v>
      </c>
      <c r="L31" s="251"/>
      <c r="M31" s="248" t="s">
        <v>113</v>
      </c>
      <c r="N31" s="250"/>
      <c r="O31" s="248" t="s">
        <v>113</v>
      </c>
      <c r="P31" s="114"/>
      <c r="Q31" s="248" t="s">
        <v>113</v>
      </c>
      <c r="R31" s="114"/>
      <c r="S31" s="248" t="s">
        <v>113</v>
      </c>
      <c r="T31" s="287"/>
      <c r="U31" s="248" t="s">
        <v>113</v>
      </c>
      <c r="V31" s="114"/>
    </row>
    <row r="32" spans="1:22" ht="24.95" customHeight="1">
      <c r="B32" s="621" t="s">
        <v>54</v>
      </c>
      <c r="C32" s="622"/>
      <c r="D32" s="622"/>
      <c r="E32" s="622"/>
      <c r="F32" s="622"/>
      <c r="G32" s="622"/>
      <c r="H32" s="713"/>
      <c r="I32" s="624" t="str">
        <f>C63</f>
        <v>A los 60 días</v>
      </c>
      <c r="J32" s="625"/>
      <c r="K32" s="624" t="str">
        <f>C63</f>
        <v>A los 60 días</v>
      </c>
      <c r="L32" s="625"/>
      <c r="M32" s="624" t="str">
        <f>C63</f>
        <v>A los 60 días</v>
      </c>
      <c r="N32" s="625"/>
      <c r="O32" s="624" t="str">
        <f>C63</f>
        <v>A los 60 días</v>
      </c>
      <c r="P32" s="625"/>
      <c r="Q32" s="624" t="str">
        <f>C63</f>
        <v>A los 60 días</v>
      </c>
      <c r="R32" s="625"/>
      <c r="S32" s="624" t="str">
        <f>C63</f>
        <v>A los 60 días</v>
      </c>
      <c r="T32" s="752"/>
      <c r="U32" s="624" t="str">
        <f>C63</f>
        <v>A los 60 días</v>
      </c>
      <c r="V32" s="625"/>
    </row>
    <row r="33" spans="2:22" ht="47.25" customHeight="1">
      <c r="B33" s="621"/>
      <c r="C33" s="622"/>
      <c r="D33" s="622"/>
      <c r="E33" s="622"/>
      <c r="F33" s="622"/>
      <c r="G33" s="622"/>
      <c r="H33" s="713"/>
      <c r="I33" s="106" t="s">
        <v>21</v>
      </c>
      <c r="J33" s="112">
        <f>IF(I32=$C$60,$F$60,IF(I32=$C$61,$F$61,IF(I32=$C$62,$F$62,IF(I32=$C$63,F63,0))))</f>
        <v>0</v>
      </c>
      <c r="K33" s="106" t="s">
        <v>21</v>
      </c>
      <c r="L33" s="247">
        <f>IF(K32=$C$60,$F$60,IF(K32=$C$61,$F$61,IF(K32=$C$62,$F$62,IF(K32=$C$63,H63,0))))</f>
        <v>0</v>
      </c>
      <c r="M33" s="115" t="s">
        <v>21</v>
      </c>
      <c r="N33" s="116">
        <f>IF(M32=$C$60,$F$60,IF(M32=$C$61,$F$61,IF(M32=$C$62,$F$62,IF(M32=$C$63,J63,0))))</f>
        <v>0</v>
      </c>
      <c r="O33" s="115" t="s">
        <v>21</v>
      </c>
      <c r="P33" s="116">
        <f t="shared" ref="P33" si="6">IF(O32=$C$60,$F$60,IF(O32=$C$61,$F$61,IF(O32=$C$62,$F$62,0)))</f>
        <v>0</v>
      </c>
      <c r="Q33" s="115" t="s">
        <v>21</v>
      </c>
      <c r="R33" s="117">
        <f t="shared" ref="R33" si="7">IF(Q32=$C$60,$F$60,IF(Q32=$C$61,$F$61,IF(Q32=$C$62,$F$62,0)))</f>
        <v>0</v>
      </c>
      <c r="S33" s="115" t="s">
        <v>21</v>
      </c>
      <c r="T33" s="288">
        <f t="shared" ref="T33" si="8">IF(S32=$C$60,$F$60,IF(S32=$C$61,$F$61,IF(S32=$C$62,$F$62,0)))</f>
        <v>0</v>
      </c>
      <c r="U33" s="289" t="s">
        <v>21</v>
      </c>
      <c r="V33" s="117">
        <f t="shared" ref="V33" si="9">IF(U32=$C$60,$F$60,IF(U32=$C$61,$F$61,IF(U32=$C$62,$F$62,0)))</f>
        <v>0</v>
      </c>
    </row>
    <row r="34" spans="2:22" ht="33.75" customHeight="1">
      <c r="B34" s="621" t="s">
        <v>56</v>
      </c>
      <c r="C34" s="622"/>
      <c r="D34" s="622"/>
      <c r="E34" s="622"/>
      <c r="F34" s="622"/>
      <c r="G34" s="622"/>
      <c r="H34" s="713"/>
      <c r="I34" s="626" t="s">
        <v>45</v>
      </c>
      <c r="J34" s="627"/>
      <c r="K34" s="626" t="s">
        <v>45</v>
      </c>
      <c r="L34" s="627"/>
      <c r="M34" s="626" t="s">
        <v>45</v>
      </c>
      <c r="N34" s="627"/>
      <c r="O34" s="626" t="s">
        <v>45</v>
      </c>
      <c r="P34" s="627"/>
      <c r="Q34" s="626" t="s">
        <v>45</v>
      </c>
      <c r="R34" s="627"/>
      <c r="S34" s="626" t="s">
        <v>45</v>
      </c>
      <c r="T34" s="753"/>
      <c r="U34" s="626" t="s">
        <v>45</v>
      </c>
      <c r="V34" s="627"/>
    </row>
    <row r="35" spans="2:22" ht="30" customHeight="1">
      <c r="B35" s="621"/>
      <c r="C35" s="622"/>
      <c r="D35" s="622"/>
      <c r="E35" s="622"/>
      <c r="F35" s="622"/>
      <c r="G35" s="622"/>
      <c r="H35" s="713"/>
      <c r="I35" s="51" t="s">
        <v>21</v>
      </c>
      <c r="J35" s="118">
        <f>IF(I34=$C$65,$F$65,0)</f>
        <v>2</v>
      </c>
      <c r="K35" s="253" t="s">
        <v>21</v>
      </c>
      <c r="L35" s="253">
        <f>IF(K34=$C$65,$F$65,0)</f>
        <v>2</v>
      </c>
      <c r="M35" s="51" t="s">
        <v>21</v>
      </c>
      <c r="N35" s="118">
        <f t="shared" ref="N35" si="10">IF(M34=$C$65,$F$65,0)</f>
        <v>2</v>
      </c>
      <c r="O35" s="51" t="s">
        <v>21</v>
      </c>
      <c r="P35" s="118">
        <f t="shared" ref="P35" si="11">IF(O34=$C$65,$F$65,0)</f>
        <v>2</v>
      </c>
      <c r="Q35" s="51" t="s">
        <v>21</v>
      </c>
      <c r="R35" s="118">
        <f t="shared" ref="R35" si="12">IF(Q34=$C$65,$F$65,0)</f>
        <v>2</v>
      </c>
      <c r="S35" s="51" t="s">
        <v>21</v>
      </c>
      <c r="T35" s="253">
        <f t="shared" ref="T35" si="13">IF(S34=$C$65,$F$65,0)</f>
        <v>2</v>
      </c>
      <c r="U35" s="51" t="s">
        <v>21</v>
      </c>
      <c r="V35" s="118">
        <f t="shared" ref="V35" si="14">IF(U34=$C$65,$F$65,0)</f>
        <v>2</v>
      </c>
    </row>
    <row r="36" spans="2:22" ht="30" customHeight="1">
      <c r="B36" s="628" t="s">
        <v>57</v>
      </c>
      <c r="C36" s="629"/>
      <c r="D36" s="629"/>
      <c r="E36" s="629"/>
      <c r="F36" s="629"/>
      <c r="G36" s="629"/>
      <c r="H36" s="710"/>
      <c r="I36" s="634" t="str">
        <f>C68</f>
        <v>Excelente</v>
      </c>
      <c r="J36" s="635"/>
      <c r="K36" s="634" t="str">
        <f>C69</f>
        <v>Medio</v>
      </c>
      <c r="L36" s="635"/>
      <c r="M36" s="634" t="str">
        <f>C68</f>
        <v>Excelente</v>
      </c>
      <c r="N36" s="635"/>
      <c r="O36" s="634" t="str">
        <f>C68</f>
        <v>Excelente</v>
      </c>
      <c r="P36" s="635"/>
      <c r="Q36" s="634" t="str">
        <f>C68</f>
        <v>Excelente</v>
      </c>
      <c r="R36" s="635"/>
      <c r="S36" s="634" t="str">
        <f>C68</f>
        <v>Excelente</v>
      </c>
      <c r="T36" s="751"/>
      <c r="U36" s="634" t="str">
        <f>C69</f>
        <v>Medio</v>
      </c>
      <c r="V36" s="635"/>
    </row>
    <row r="37" spans="2:22" ht="24.95" customHeight="1" thickBot="1">
      <c r="B37" s="630"/>
      <c r="C37" s="631"/>
      <c r="D37" s="631"/>
      <c r="E37" s="631"/>
      <c r="F37" s="631"/>
      <c r="G37" s="631"/>
      <c r="H37" s="737"/>
      <c r="I37" s="122" t="s">
        <v>21</v>
      </c>
      <c r="J37" s="123">
        <f>IF(I36=$C$68,$F$68,IF(I36=$C$69,$F$69,0))</f>
        <v>2</v>
      </c>
      <c r="K37" s="255" t="s">
        <v>21</v>
      </c>
      <c r="L37" s="255">
        <f>IF(K36=$C$68,$F$68,IF(K36=$C$69,$F$69,0))</f>
        <v>0</v>
      </c>
      <c r="M37" s="124" t="s">
        <v>21</v>
      </c>
      <c r="N37" s="123">
        <f>IF(M36=$C$68,$F$68,IF(M36=$C$69,$F$69,0))</f>
        <v>2</v>
      </c>
      <c r="O37" s="124" t="s">
        <v>21</v>
      </c>
      <c r="P37" s="125">
        <f>IF(O36=$C$68,$F$68,IF(O36=$C$69,$F$69,0))</f>
        <v>2</v>
      </c>
      <c r="Q37" s="124" t="s">
        <v>21</v>
      </c>
      <c r="R37" s="126">
        <f>IF(Q36=$C$68,$F$68,IF(Q36=$C$69,$F$69,0))</f>
        <v>2</v>
      </c>
      <c r="S37" s="124" t="s">
        <v>21</v>
      </c>
      <c r="T37" s="290">
        <f>IF(S36=$C$68,$F$68,IF(S36=$C$69,$F$69,0))</f>
        <v>2</v>
      </c>
      <c r="U37" s="291" t="s">
        <v>21</v>
      </c>
      <c r="V37" s="126">
        <f>IF(U36=$C$68,$F$68,IF(U36=$C$69,$F$69,0))</f>
        <v>0</v>
      </c>
    </row>
    <row r="38" spans="2:22" ht="24.95" customHeight="1" thickBot="1">
      <c r="B38" s="119"/>
      <c r="C38" s="120"/>
      <c r="D38" s="120"/>
      <c r="E38" s="120"/>
      <c r="F38" s="120"/>
      <c r="G38" s="120"/>
      <c r="H38" s="121"/>
      <c r="I38" s="133"/>
      <c r="J38" s="134"/>
      <c r="K38" s="257"/>
      <c r="L38" s="257"/>
      <c r="M38" s="135"/>
      <c r="N38" s="134"/>
      <c r="O38" s="135"/>
      <c r="P38" s="136"/>
      <c r="Q38" s="135"/>
      <c r="R38" s="137"/>
      <c r="S38" s="135"/>
      <c r="T38" s="292"/>
      <c r="U38" s="293"/>
      <c r="V38" s="137"/>
    </row>
    <row r="39" spans="2:22" ht="24.95" customHeight="1" thickBot="1">
      <c r="B39" s="119"/>
      <c r="C39" s="120"/>
      <c r="D39" s="120"/>
      <c r="E39" s="120"/>
      <c r="F39" s="120"/>
      <c r="G39" s="120"/>
      <c r="H39" s="121"/>
      <c r="I39" s="133"/>
      <c r="J39" s="134"/>
      <c r="K39" s="257"/>
      <c r="L39" s="257"/>
      <c r="M39" s="135"/>
      <c r="N39" s="134"/>
      <c r="O39" s="135"/>
      <c r="P39" s="136"/>
      <c r="Q39" s="135"/>
      <c r="R39" s="137"/>
      <c r="S39" s="135"/>
      <c r="T39" s="292"/>
      <c r="U39" s="294"/>
      <c r="V39" s="295"/>
    </row>
    <row r="40" spans="2:22" ht="24.95" customHeight="1" thickBot="1">
      <c r="B40" s="636" t="s">
        <v>62</v>
      </c>
      <c r="C40" s="637"/>
      <c r="D40" s="637"/>
      <c r="E40" s="637"/>
      <c r="F40" s="637"/>
      <c r="G40" s="637"/>
      <c r="H40" s="720"/>
      <c r="I40" s="127"/>
      <c r="J40" s="131">
        <f>J23+J25+J27+J33+J35+J37</f>
        <v>6</v>
      </c>
      <c r="K40" s="128"/>
      <c r="L40" s="128">
        <f>L23+L25+L27+L33+L35+L37</f>
        <v>4</v>
      </c>
      <c r="M40" s="129"/>
      <c r="N40" s="132">
        <f>N23+N25+N27+N33+N35+N37</f>
        <v>8</v>
      </c>
      <c r="O40" s="130"/>
      <c r="P40" s="142">
        <f>P23+P25+P27+P33+P35+P37</f>
        <v>6</v>
      </c>
      <c r="Q40" s="27"/>
      <c r="R40" s="142">
        <f>R23+R25+R27+R33+R35+R37</f>
        <v>6</v>
      </c>
      <c r="S40" s="27"/>
      <c r="T40" s="142">
        <f>T23+T25+T27+T33+T35+T37</f>
        <v>6</v>
      </c>
      <c r="U40" s="27"/>
      <c r="V40" s="142">
        <f>V23+V25+V27+V33+V35+V37</f>
        <v>4</v>
      </c>
    </row>
    <row r="41" spans="2:22" ht="24.95" customHeight="1" thickBot="1">
      <c r="B41" s="620" t="s">
        <v>61</v>
      </c>
      <c r="C41" s="620"/>
      <c r="D41" s="620"/>
      <c r="E41" s="620"/>
      <c r="F41" s="620"/>
      <c r="G41" s="620"/>
      <c r="H41" s="620"/>
      <c r="I41" s="131"/>
      <c r="J41" s="128">
        <v>10</v>
      </c>
      <c r="K41" s="128"/>
      <c r="L41" s="128">
        <v>10</v>
      </c>
      <c r="M41" s="131"/>
      <c r="N41" s="128">
        <v>10</v>
      </c>
      <c r="O41" s="138"/>
      <c r="P41" s="140">
        <v>10</v>
      </c>
      <c r="Q41" s="139"/>
      <c r="R41" s="141">
        <v>10</v>
      </c>
      <c r="S41" s="139"/>
      <c r="T41" s="141">
        <v>10</v>
      </c>
      <c r="U41" s="139"/>
      <c r="V41" s="141">
        <v>10</v>
      </c>
    </row>
    <row r="42" spans="2:22" ht="24.95" customHeight="1" thickBot="1">
      <c r="B42" s="616" t="s">
        <v>63</v>
      </c>
      <c r="C42" s="616"/>
      <c r="D42" s="616"/>
      <c r="E42" s="616"/>
      <c r="F42" s="616"/>
      <c r="G42" s="616"/>
      <c r="H42" s="616"/>
      <c r="I42" s="107"/>
      <c r="J42" s="145">
        <f>J40+J41</f>
        <v>16</v>
      </c>
      <c r="K42" s="296"/>
      <c r="L42" s="145">
        <f>L40+L41</f>
        <v>14</v>
      </c>
      <c r="M42" s="24"/>
      <c r="N42" s="145">
        <f>N40+N41</f>
        <v>18</v>
      </c>
      <c r="O42" s="146"/>
      <c r="P42" s="144">
        <f>P40+P41</f>
        <v>16</v>
      </c>
      <c r="Q42" s="143"/>
      <c r="R42" s="144">
        <f>R40+R41</f>
        <v>16</v>
      </c>
      <c r="S42" s="143"/>
      <c r="T42" s="144">
        <f>T40+T41</f>
        <v>16</v>
      </c>
      <c r="U42" s="143"/>
      <c r="V42" s="144">
        <f>V40+V41</f>
        <v>14</v>
      </c>
    </row>
    <row r="43" spans="2:22" ht="24.95" customHeight="1">
      <c r="B43" s="69"/>
      <c r="C43" s="70" t="s">
        <v>24</v>
      </c>
      <c r="D43" s="71"/>
      <c r="E43" s="70" t="s">
        <v>25</v>
      </c>
      <c r="F43" s="71"/>
      <c r="G43" s="69"/>
      <c r="H43" s="69"/>
      <c r="I43" s="72" t="str">
        <f>IF($H$17&gt;(3000*$I$48),"COORDINADOR DE PROYECTOS","")</f>
        <v>COORDINADOR DE PROYECTOS</v>
      </c>
      <c r="J43" s="69"/>
      <c r="K43" s="69"/>
      <c r="L43" s="69"/>
      <c r="M43" s="69"/>
      <c r="N43" s="73" t="str">
        <f>IF($H$17&gt;(7500*$I$48),"GERENTE TÉCNICO","")</f>
        <v>GERENTE TÉCNICO</v>
      </c>
      <c r="Q43" s="45"/>
      <c r="R43" s="99"/>
    </row>
    <row r="44" spans="2:22" ht="24.95" customHeight="1">
      <c r="B44" s="26"/>
      <c r="C44" s="22"/>
      <c r="D44" s="26"/>
      <c r="E44" s="48" t="s">
        <v>4</v>
      </c>
      <c r="F44" s="26"/>
      <c r="G44" s="26"/>
      <c r="H44" s="26"/>
      <c r="I44" s="26" t="str">
        <f>IF(I43&lt;&gt;"","FECHA:","")</f>
        <v>FECHA:</v>
      </c>
      <c r="J44" s="26"/>
      <c r="K44" s="26"/>
      <c r="L44" s="26"/>
      <c r="M44" s="26"/>
      <c r="N44" s="48" t="str">
        <f>IF(N43&lt;&gt;"","FECHA:","")</f>
        <v>FECHA:</v>
      </c>
      <c r="P44" s="73"/>
      <c r="R44" s="46"/>
    </row>
    <row r="45" spans="2:22" ht="24.95" customHeight="1" thickBot="1">
      <c r="B45" s="47"/>
      <c r="C45" s="47"/>
      <c r="H45" s="104"/>
      <c r="N45" s="100"/>
      <c r="Q45" s="46"/>
    </row>
    <row r="46" spans="2:22" ht="24.95" customHeight="1" thickBot="1">
      <c r="O46" s="91"/>
      <c r="S46" s="297" t="s">
        <v>123</v>
      </c>
      <c r="T46" s="721" t="s">
        <v>124</v>
      </c>
      <c r="U46" s="722"/>
    </row>
    <row r="47" spans="2:22" ht="24.95" customHeight="1">
      <c r="C47" s="617" t="s">
        <v>26</v>
      </c>
      <c r="D47" s="618"/>
      <c r="E47" s="619"/>
      <c r="F47" s="13" t="s">
        <v>27</v>
      </c>
      <c r="H47" s="65" t="s">
        <v>28</v>
      </c>
      <c r="I47" s="66">
        <f ca="1">TODAY()</f>
        <v>46233</v>
      </c>
      <c r="J47" s="6"/>
      <c r="K47" s="6"/>
      <c r="L47" s="6"/>
      <c r="M47" s="14"/>
      <c r="N47"/>
      <c r="O47"/>
      <c r="P47"/>
      <c r="Q47" s="6"/>
      <c r="R47" s="6"/>
      <c r="S47" s="264"/>
      <c r="T47" s="723"/>
      <c r="U47" s="724"/>
    </row>
    <row r="48" spans="2:22" ht="24.95" customHeight="1">
      <c r="C48" s="610" t="s">
        <v>29</v>
      </c>
      <c r="D48" s="611"/>
      <c r="E48" s="611"/>
      <c r="F48" s="52"/>
      <c r="H48" s="67" t="s">
        <v>30</v>
      </c>
      <c r="I48" s="68"/>
      <c r="S48" s="264"/>
      <c r="T48" s="723"/>
      <c r="U48" s="724"/>
    </row>
    <row r="49" spans="1:21" ht="24.95" customHeight="1">
      <c r="B49" s="7"/>
      <c r="C49" s="53" t="s">
        <v>31</v>
      </c>
      <c r="D49" s="54"/>
      <c r="E49" s="55"/>
      <c r="F49" s="56">
        <v>2</v>
      </c>
      <c r="S49" s="264"/>
      <c r="T49" s="723"/>
      <c r="U49" s="724"/>
    </row>
    <row r="50" spans="1:21" ht="24.95" customHeight="1">
      <c r="B50" s="7"/>
      <c r="C50" s="57" t="s">
        <v>32</v>
      </c>
      <c r="D50" s="58"/>
      <c r="E50" s="59"/>
      <c r="F50" s="60">
        <v>0</v>
      </c>
      <c r="H50" s="15"/>
      <c r="I50" s="80"/>
      <c r="J50" s="79"/>
      <c r="K50" s="79"/>
      <c r="L50" s="79"/>
      <c r="S50" s="264"/>
      <c r="T50" s="723"/>
      <c r="U50" s="724"/>
    </row>
    <row r="51" spans="1:21" ht="24.95" customHeight="1">
      <c r="C51" s="610" t="s">
        <v>33</v>
      </c>
      <c r="D51" s="611"/>
      <c r="E51" s="611"/>
      <c r="F51" s="52"/>
      <c r="I51" s="80"/>
      <c r="J51" s="79"/>
      <c r="K51" s="79"/>
      <c r="L51" s="79"/>
      <c r="S51" s="264"/>
      <c r="T51" s="723"/>
      <c r="U51" s="724"/>
    </row>
    <row r="52" spans="1:21" ht="24.95" customHeight="1" thickBot="1">
      <c r="B52" s="7"/>
      <c r="C52" s="53" t="s">
        <v>34</v>
      </c>
      <c r="D52" s="54"/>
      <c r="E52" s="55"/>
      <c r="F52" s="56">
        <v>2</v>
      </c>
      <c r="S52" s="264"/>
      <c r="T52" s="725"/>
      <c r="U52" s="726"/>
    </row>
    <row r="53" spans="1:21" ht="24.95" customHeight="1">
      <c r="B53" s="7"/>
      <c r="C53" s="57" t="s">
        <v>35</v>
      </c>
      <c r="D53" s="58"/>
      <c r="E53" s="59"/>
      <c r="F53" s="60">
        <v>0</v>
      </c>
    </row>
    <row r="54" spans="1:21" ht="24.95" customHeight="1">
      <c r="A54" s="6"/>
      <c r="C54" s="610" t="s">
        <v>36</v>
      </c>
      <c r="D54" s="611"/>
      <c r="E54" s="611"/>
      <c r="F54" s="52"/>
    </row>
    <row r="55" spans="1:21" ht="24.95" customHeight="1">
      <c r="C55" s="57" t="s">
        <v>37</v>
      </c>
      <c r="D55" s="58"/>
      <c r="E55" s="59"/>
      <c r="F55" s="60">
        <v>3</v>
      </c>
      <c r="H55" s="6"/>
    </row>
    <row r="56" spans="1:21" ht="24.95" customHeight="1">
      <c r="C56" s="57" t="s">
        <v>38</v>
      </c>
      <c r="D56" s="58"/>
      <c r="E56" s="59"/>
      <c r="F56" s="60">
        <v>2</v>
      </c>
      <c r="H56" s="6"/>
    </row>
    <row r="57" spans="1:21" ht="24.95" customHeight="1">
      <c r="C57" s="57" t="s">
        <v>39</v>
      </c>
      <c r="D57" s="58"/>
      <c r="E57" s="59"/>
      <c r="F57" s="60">
        <v>1</v>
      </c>
      <c r="H57" s="6"/>
    </row>
    <row r="58" spans="1:21" ht="24.95" customHeight="1">
      <c r="C58" s="57" t="s">
        <v>73</v>
      </c>
      <c r="D58" s="58"/>
      <c r="E58" s="59"/>
      <c r="F58" s="60">
        <v>0</v>
      </c>
      <c r="H58" s="6"/>
    </row>
    <row r="59" spans="1:21" ht="24.95" customHeight="1">
      <c r="C59" s="610" t="s">
        <v>40</v>
      </c>
      <c r="D59" s="611"/>
      <c r="E59" s="611"/>
      <c r="F59" s="52"/>
    </row>
    <row r="60" spans="1:21" ht="24.95" customHeight="1">
      <c r="C60" s="61" t="s">
        <v>41</v>
      </c>
      <c r="D60" s="58"/>
      <c r="E60" s="59"/>
      <c r="F60" s="60">
        <v>3</v>
      </c>
    </row>
    <row r="61" spans="1:21" ht="24.95" customHeight="1">
      <c r="C61" s="61" t="s">
        <v>42</v>
      </c>
      <c r="D61" s="58"/>
      <c r="E61" s="59"/>
      <c r="F61" s="60">
        <v>2</v>
      </c>
    </row>
    <row r="62" spans="1:21" ht="24.95" customHeight="1">
      <c r="C62" s="61" t="s">
        <v>43</v>
      </c>
      <c r="D62" s="58"/>
      <c r="E62" s="59"/>
      <c r="F62" s="60">
        <v>1</v>
      </c>
    </row>
    <row r="63" spans="1:21" ht="24.95" customHeight="1">
      <c r="C63" s="61" t="s">
        <v>55</v>
      </c>
      <c r="D63" s="58"/>
      <c r="E63" s="58"/>
      <c r="F63" s="52">
        <v>0</v>
      </c>
    </row>
    <row r="64" spans="1:21" ht="24.95" customHeight="1">
      <c r="C64" s="610" t="s">
        <v>44</v>
      </c>
      <c r="D64" s="611"/>
      <c r="E64" s="611"/>
      <c r="F64" s="52"/>
    </row>
    <row r="65" spans="2:8" ht="24.95" customHeight="1">
      <c r="C65" s="57" t="s">
        <v>45</v>
      </c>
      <c r="D65" s="58"/>
      <c r="E65" s="59"/>
      <c r="F65" s="60">
        <v>2</v>
      </c>
    </row>
    <row r="66" spans="2:8" ht="24.95" customHeight="1">
      <c r="C66" s="57" t="s">
        <v>46</v>
      </c>
      <c r="D66" s="58"/>
      <c r="E66" s="59"/>
      <c r="F66" s="60">
        <v>0</v>
      </c>
    </row>
    <row r="67" spans="2:8" ht="24.95" customHeight="1">
      <c r="C67" s="610" t="s">
        <v>58</v>
      </c>
      <c r="D67" s="611"/>
      <c r="E67" s="611"/>
      <c r="F67" s="612"/>
    </row>
    <row r="68" spans="2:8" ht="24.95" customHeight="1">
      <c r="C68" s="57" t="s">
        <v>59</v>
      </c>
      <c r="D68" s="58"/>
      <c r="E68" s="59"/>
      <c r="F68" s="60">
        <v>2</v>
      </c>
    </row>
    <row r="69" spans="2:8" ht="24.95" customHeight="1">
      <c r="C69" s="57" t="s">
        <v>60</v>
      </c>
      <c r="D69" s="58"/>
      <c r="E69" s="59"/>
      <c r="F69" s="60">
        <v>0</v>
      </c>
    </row>
    <row r="70" spans="2:8" ht="24.95" customHeight="1">
      <c r="C70" s="613" t="s">
        <v>47</v>
      </c>
      <c r="D70" s="614"/>
      <c r="E70" s="615"/>
      <c r="F70" s="62" t="s">
        <v>48</v>
      </c>
    </row>
    <row r="71" spans="2:8" ht="24.95" customHeight="1">
      <c r="B71" s="6"/>
      <c r="C71" s="63"/>
      <c r="D71" s="63"/>
      <c r="E71" s="63" t="s">
        <v>15</v>
      </c>
      <c r="F71" s="64">
        <f>10+F49+F52+F55+F60+F65+F68</f>
        <v>24</v>
      </c>
      <c r="H71" s="6"/>
    </row>
    <row r="72" spans="2:8" ht="20.100000000000001" customHeight="1"/>
  </sheetData>
  <mergeCells count="108">
    <mergeCell ref="A1:R1"/>
    <mergeCell ref="B3:C3"/>
    <mergeCell ref="D3:G3"/>
    <mergeCell ref="B4:C4"/>
    <mergeCell ref="D4:G4"/>
    <mergeCell ref="B5:C5"/>
    <mergeCell ref="D5:G5"/>
    <mergeCell ref="K21:L21"/>
    <mergeCell ref="C8:D8"/>
    <mergeCell ref="A9:A14"/>
    <mergeCell ref="C9:D9"/>
    <mergeCell ref="C10:D10"/>
    <mergeCell ref="C11:D11"/>
    <mergeCell ref="C12:D12"/>
    <mergeCell ref="C13:D13"/>
    <mergeCell ref="C14:D14"/>
    <mergeCell ref="I6:V6"/>
    <mergeCell ref="B7:H7"/>
    <mergeCell ref="I7:J7"/>
    <mergeCell ref="K7:L7"/>
    <mergeCell ref="M7:N7"/>
    <mergeCell ref="O7:P7"/>
    <mergeCell ref="Q7:R7"/>
    <mergeCell ref="S7:T7"/>
    <mergeCell ref="A17:A20"/>
    <mergeCell ref="B17:G17"/>
    <mergeCell ref="I17:J17"/>
    <mergeCell ref="M17:N17"/>
    <mergeCell ref="Q17:R17"/>
    <mergeCell ref="S17:T17"/>
    <mergeCell ref="U17:V17"/>
    <mergeCell ref="B18:H19"/>
    <mergeCell ref="A15:A16"/>
    <mergeCell ref="B15:G15"/>
    <mergeCell ref="B16:G16"/>
    <mergeCell ref="I16:J16"/>
    <mergeCell ref="M16:N16"/>
    <mergeCell ref="Q16:R16"/>
    <mergeCell ref="B20:H20"/>
    <mergeCell ref="I18:J18"/>
    <mergeCell ref="M18:N18"/>
    <mergeCell ref="O18:P18"/>
    <mergeCell ref="Q18:R18"/>
    <mergeCell ref="U7:V7"/>
    <mergeCell ref="S18:T18"/>
    <mergeCell ref="U18:V18"/>
    <mergeCell ref="S16:T16"/>
    <mergeCell ref="U16:V16"/>
    <mergeCell ref="B24:H25"/>
    <mergeCell ref="B26:H31"/>
    <mergeCell ref="I26:J26"/>
    <mergeCell ref="K26:L26"/>
    <mergeCell ref="M26:N26"/>
    <mergeCell ref="O26:P26"/>
    <mergeCell ref="S21:T21"/>
    <mergeCell ref="U21:V21"/>
    <mergeCell ref="B22:H23"/>
    <mergeCell ref="I22:J22"/>
    <mergeCell ref="K22:L22"/>
    <mergeCell ref="M22:N22"/>
    <mergeCell ref="O22:P22"/>
    <mergeCell ref="Q22:R22"/>
    <mergeCell ref="S22:T22"/>
    <mergeCell ref="U22:V22"/>
    <mergeCell ref="Q26:R26"/>
    <mergeCell ref="S26:T26"/>
    <mergeCell ref="U26:V26"/>
    <mergeCell ref="B21:H21"/>
    <mergeCell ref="I21:J21"/>
    <mergeCell ref="M21:N21"/>
    <mergeCell ref="O21:P21"/>
    <mergeCell ref="Q21:R21"/>
    <mergeCell ref="B32:H33"/>
    <mergeCell ref="I32:J32"/>
    <mergeCell ref="K32:L32"/>
    <mergeCell ref="M32:N32"/>
    <mergeCell ref="O32:P32"/>
    <mergeCell ref="Q32:R32"/>
    <mergeCell ref="S32:T32"/>
    <mergeCell ref="U32:V32"/>
    <mergeCell ref="B34:H35"/>
    <mergeCell ref="I34:J34"/>
    <mergeCell ref="K34:L34"/>
    <mergeCell ref="M34:N34"/>
    <mergeCell ref="O34:P34"/>
    <mergeCell ref="Q34:R34"/>
    <mergeCell ref="S34:T34"/>
    <mergeCell ref="U34:V34"/>
    <mergeCell ref="C54:E54"/>
    <mergeCell ref="C59:E59"/>
    <mergeCell ref="C64:E64"/>
    <mergeCell ref="C67:F67"/>
    <mergeCell ref="C70:E70"/>
    <mergeCell ref="S36:T36"/>
    <mergeCell ref="U36:V36"/>
    <mergeCell ref="B40:H40"/>
    <mergeCell ref="B41:H41"/>
    <mergeCell ref="B42:H42"/>
    <mergeCell ref="T46:U52"/>
    <mergeCell ref="C47:E47"/>
    <mergeCell ref="C48:E48"/>
    <mergeCell ref="C51:E51"/>
    <mergeCell ref="B36:H37"/>
    <mergeCell ref="I36:J36"/>
    <mergeCell ref="K36:L36"/>
    <mergeCell ref="M36:N36"/>
    <mergeCell ref="O36:P36"/>
    <mergeCell ref="Q36:R3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E20A-5A33-4B42-A109-DB654873DE0A}">
  <sheetPr>
    <tabColor theme="0" tint="-4.9989318521683403E-2"/>
  </sheetPr>
  <dimension ref="A1:R72"/>
  <sheetViews>
    <sheetView topLeftCell="D3" zoomScale="60" zoomScaleNormal="60" workbookViewId="0">
      <pane ySplit="5" topLeftCell="A8" activePane="bottomLeft" state="frozen"/>
      <selection activeCell="G3" sqref="G3"/>
      <selection pane="bottomLeft" activeCell="M16" sqref="M16:N16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93.62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6" width="25.625" style="5" customWidth="1"/>
    <col min="17" max="17" width="22.5" style="5" customWidth="1"/>
    <col min="18" max="18" width="25.625" style="5" customWidth="1"/>
    <col min="19" max="16384" width="11.5" style="5"/>
  </cols>
  <sheetData>
    <row r="1" spans="1:18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</row>
    <row r="2" spans="1:18" ht="20.25" customHeight="1" thickBot="1"/>
    <row r="3" spans="1:18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2"/>
      <c r="L3" s="22"/>
      <c r="M3" s="21" t="s">
        <v>5</v>
      </c>
      <c r="N3" s="23">
        <v>1</v>
      </c>
      <c r="O3" s="24"/>
      <c r="P3" s="24"/>
      <c r="Q3" s="24"/>
      <c r="R3" s="24"/>
    </row>
    <row r="4" spans="1:18" ht="63" customHeight="1">
      <c r="A4" s="25"/>
      <c r="B4" s="690" t="s">
        <v>6</v>
      </c>
      <c r="C4" s="690"/>
      <c r="D4" s="691" t="s">
        <v>138</v>
      </c>
      <c r="E4" s="691"/>
      <c r="F4" s="691"/>
      <c r="G4" s="691"/>
      <c r="H4" s="22"/>
      <c r="I4" s="26"/>
      <c r="J4" s="81"/>
      <c r="K4" s="81"/>
      <c r="L4" s="81"/>
      <c r="M4" s="22"/>
      <c r="N4" s="22"/>
      <c r="O4" s="82"/>
      <c r="P4" s="204"/>
      <c r="Q4" s="204"/>
      <c r="R4" s="204"/>
    </row>
    <row r="5" spans="1:18" ht="18" customHeigh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18" customHeight="1" thickBot="1">
      <c r="A6" s="6"/>
      <c r="B6" s="6"/>
      <c r="C6" s="6"/>
      <c r="D6" s="6"/>
      <c r="E6" s="6"/>
      <c r="F6" s="6"/>
      <c r="G6" s="6"/>
      <c r="H6" s="6"/>
      <c r="I6" s="693"/>
      <c r="J6" s="694"/>
      <c r="K6" s="694"/>
      <c r="L6" s="694"/>
      <c r="M6" s="694"/>
      <c r="N6" s="694"/>
      <c r="O6" s="694"/>
      <c r="P6" s="694"/>
      <c r="Q6" s="694"/>
      <c r="R6" s="694"/>
    </row>
    <row r="7" spans="1:18" ht="62.25" customHeight="1" thickBot="1">
      <c r="B7" s="695" t="s">
        <v>8</v>
      </c>
      <c r="C7" s="696"/>
      <c r="D7" s="696"/>
      <c r="E7" s="696"/>
      <c r="F7" s="696"/>
      <c r="G7" s="696"/>
      <c r="H7" s="696"/>
      <c r="I7" s="697" t="s">
        <v>128</v>
      </c>
      <c r="J7" s="698"/>
      <c r="K7" s="697" t="s">
        <v>163</v>
      </c>
      <c r="L7" s="698"/>
      <c r="M7" s="697" t="s">
        <v>129</v>
      </c>
      <c r="N7" s="698"/>
      <c r="O7" s="697" t="s">
        <v>139</v>
      </c>
      <c r="P7" s="698"/>
      <c r="Q7" s="697" t="s">
        <v>52</v>
      </c>
      <c r="R7" s="698"/>
    </row>
    <row r="8" spans="1:18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60" t="s">
        <v>15</v>
      </c>
      <c r="I8" s="18" t="s">
        <v>14</v>
      </c>
      <c r="J8" s="19" t="s">
        <v>15</v>
      </c>
      <c r="K8" s="205" t="s">
        <v>14</v>
      </c>
      <c r="L8" s="206" t="s">
        <v>15</v>
      </c>
      <c r="M8" s="18" t="s">
        <v>14</v>
      </c>
      <c r="N8" s="19" t="s">
        <v>15</v>
      </c>
      <c r="O8" s="18" t="s">
        <v>14</v>
      </c>
      <c r="P8" s="19" t="s">
        <v>15</v>
      </c>
      <c r="Q8" s="18" t="s">
        <v>14</v>
      </c>
      <c r="R8" s="19" t="s">
        <v>15</v>
      </c>
    </row>
    <row r="9" spans="1:18" ht="45.75" customHeight="1">
      <c r="A9" s="679"/>
      <c r="B9" s="337">
        <v>1</v>
      </c>
      <c r="C9" s="680" t="s">
        <v>140</v>
      </c>
      <c r="D9" s="681"/>
      <c r="E9" s="298" t="s">
        <v>50</v>
      </c>
      <c r="F9" s="338">
        <v>12</v>
      </c>
      <c r="G9" s="339">
        <f>12000*1.18</f>
        <v>14160</v>
      </c>
      <c r="H9" s="209">
        <f>G9*F9</f>
        <v>169920</v>
      </c>
      <c r="I9" s="210">
        <f>(237*1.018*60.2)+(78*1.18*60.2)</f>
        <v>20065.021199999999</v>
      </c>
      <c r="J9" s="211">
        <f>F9*I9</f>
        <v>240780.25439999998</v>
      </c>
      <c r="K9" s="212">
        <f>189.14*1.018*60.2</f>
        <v>11591.180103999999</v>
      </c>
      <c r="L9" s="213">
        <f>F9*K9</f>
        <v>139094.16124799999</v>
      </c>
      <c r="M9" s="214">
        <f>264*1.18*60.2</f>
        <v>18753.504000000001</v>
      </c>
      <c r="N9" s="215">
        <f>F9*M9</f>
        <v>225042.04800000001</v>
      </c>
      <c r="O9" s="216">
        <f>(150.75*60.2)+1806</f>
        <v>10881.15</v>
      </c>
      <c r="P9" s="217">
        <f>F9*O9</f>
        <v>130573.79999999999</v>
      </c>
      <c r="Q9" s="275">
        <v>19723.892233766233</v>
      </c>
      <c r="R9" s="276">
        <f>F9*Q9</f>
        <v>236686.70680519479</v>
      </c>
    </row>
    <row r="10" spans="1:18" ht="48" customHeight="1">
      <c r="A10" s="679"/>
      <c r="B10" s="224">
        <v>2</v>
      </c>
      <c r="C10" s="682" t="s">
        <v>141</v>
      </c>
      <c r="D10" s="683"/>
      <c r="E10" s="304" t="s">
        <v>50</v>
      </c>
      <c r="F10" s="340">
        <v>6</v>
      </c>
      <c r="G10" s="341">
        <f>9800*1.18</f>
        <v>11564</v>
      </c>
      <c r="H10" s="219">
        <f>G10*F10</f>
        <v>69384</v>
      </c>
      <c r="I10" s="220">
        <f>(237*60.2*1.018)+(136.84*1.018*60.2)</f>
        <v>22910.261024000003</v>
      </c>
      <c r="J10" s="221">
        <f>F10*I10</f>
        <v>137461.56614400001</v>
      </c>
      <c r="K10" s="218">
        <f>(169.64*1.018*60.2)+(136.84*1.18*60.2)</f>
        <v>20116.716143999998</v>
      </c>
      <c r="L10" s="222">
        <f t="shared" ref="L10" si="0">F10*K10</f>
        <v>120700.29686399999</v>
      </c>
      <c r="M10" s="214">
        <f>398*60.2*1.18</f>
        <v>28272.328000000001</v>
      </c>
      <c r="N10" s="215">
        <f t="shared" ref="N10" si="1">F10*M10</f>
        <v>169633.96799999999</v>
      </c>
      <c r="O10" s="90">
        <f>(202.5*60.2)+1806</f>
        <v>13996.5</v>
      </c>
      <c r="P10" s="217">
        <f>F10*O10</f>
        <v>83979</v>
      </c>
      <c r="Q10" s="275">
        <v>17529.2042</v>
      </c>
      <c r="R10" s="276">
        <f>F10*Q10</f>
        <v>105175.2252</v>
      </c>
    </row>
    <row r="11" spans="1:18" ht="48" customHeight="1">
      <c r="A11" s="679"/>
      <c r="B11" s="224"/>
      <c r="C11" s="682"/>
      <c r="D11" s="682"/>
      <c r="E11" s="267"/>
      <c r="F11" s="340"/>
      <c r="G11" s="341"/>
      <c r="H11" s="219"/>
      <c r="I11" s="223"/>
      <c r="J11" s="221"/>
      <c r="K11" s="218"/>
      <c r="L11" s="222"/>
      <c r="M11" s="214"/>
      <c r="N11" s="215"/>
      <c r="O11" s="218"/>
      <c r="P11" s="217"/>
      <c r="Q11" s="275"/>
      <c r="R11" s="276"/>
    </row>
    <row r="12" spans="1:18" ht="48" customHeight="1">
      <c r="A12" s="679"/>
      <c r="B12" s="224"/>
      <c r="C12" s="684"/>
      <c r="D12" s="684"/>
      <c r="E12" s="225"/>
      <c r="F12" s="225"/>
      <c r="G12" s="226"/>
      <c r="H12" s="227"/>
      <c r="I12" s="90"/>
      <c r="J12" s="152"/>
      <c r="K12" s="173"/>
      <c r="L12" s="101"/>
      <c r="M12" s="90"/>
      <c r="N12" s="155"/>
      <c r="O12" s="157"/>
      <c r="Q12" s="17"/>
      <c r="R12" s="16"/>
    </row>
    <row r="13" spans="1:18" ht="48" customHeight="1">
      <c r="A13" s="679"/>
      <c r="B13" s="224"/>
      <c r="C13" s="684"/>
      <c r="D13" s="684"/>
      <c r="E13" s="225"/>
      <c r="F13" s="225"/>
      <c r="G13" s="226"/>
      <c r="H13" s="227"/>
      <c r="I13" s="90"/>
      <c r="J13" s="152"/>
      <c r="K13" s="173"/>
      <c r="L13" s="101"/>
      <c r="M13" s="90"/>
      <c r="N13" s="155"/>
      <c r="O13" s="157"/>
      <c r="P13" s="16"/>
      <c r="Q13" s="17"/>
      <c r="R13" s="16"/>
    </row>
    <row r="14" spans="1:18" ht="48" customHeight="1" thickBot="1">
      <c r="A14" s="679"/>
      <c r="B14" s="228"/>
      <c r="C14" s="767"/>
      <c r="D14" s="767"/>
      <c r="E14" s="229"/>
      <c r="F14" s="229"/>
      <c r="G14" s="230"/>
      <c r="H14" s="231"/>
      <c r="I14" s="232"/>
      <c r="J14" s="233"/>
      <c r="K14" s="177"/>
      <c r="L14" s="178"/>
      <c r="M14" s="90"/>
      <c r="N14" s="155"/>
      <c r="O14" s="157"/>
      <c r="P14" s="16"/>
      <c r="Q14" s="17"/>
      <c r="R14" s="234"/>
    </row>
    <row r="15" spans="1:18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235">
        <f>SUM(H9:H14)</f>
        <v>239304</v>
      </c>
      <c r="I15" s="236"/>
      <c r="J15" s="237">
        <f>SUM(J9:J14)</f>
        <v>378241.82054400002</v>
      </c>
      <c r="K15" s="237"/>
      <c r="L15" s="238">
        <f>SUM(L9:L14)</f>
        <v>259794.45811199996</v>
      </c>
      <c r="M15" s="94"/>
      <c r="N15" s="93">
        <f>SUM(N9:N14)</f>
        <v>394676.016</v>
      </c>
      <c r="O15" s="95"/>
      <c r="P15" s="96">
        <f>SUM(P9:P14)</f>
        <v>214552.8</v>
      </c>
      <c r="Q15" s="92"/>
      <c r="R15" s="93">
        <f>SUM(R9:R13)</f>
        <v>341861.93200519477</v>
      </c>
    </row>
    <row r="16" spans="1:18" ht="25.5" customHeight="1">
      <c r="A16" s="665"/>
      <c r="B16" s="669" t="s">
        <v>49</v>
      </c>
      <c r="C16" s="670"/>
      <c r="D16" s="670"/>
      <c r="E16" s="670"/>
      <c r="F16" s="670"/>
      <c r="G16" s="670"/>
      <c r="H16" s="239"/>
      <c r="I16" s="671">
        <f>I15*0.18</f>
        <v>0</v>
      </c>
      <c r="J16" s="672"/>
      <c r="K16" s="89"/>
      <c r="L16" s="89">
        <v>0</v>
      </c>
      <c r="M16" s="673">
        <f>0.18*M15</f>
        <v>0</v>
      </c>
      <c r="N16" s="672"/>
      <c r="O16" s="77"/>
      <c r="P16" s="89"/>
      <c r="Q16" s="671"/>
      <c r="R16" s="672"/>
    </row>
    <row r="17" spans="1:18" ht="22.5" customHeigh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240">
        <f>H15+H16</f>
        <v>239304</v>
      </c>
      <c r="I17" s="675">
        <f>J15</f>
        <v>378241.82054400002</v>
      </c>
      <c r="J17" s="676"/>
      <c r="K17" s="241"/>
      <c r="L17" s="242">
        <f>L15</f>
        <v>259794.45811199996</v>
      </c>
      <c r="M17" s="677">
        <f>N15</f>
        <v>394676.016</v>
      </c>
      <c r="N17" s="678"/>
      <c r="O17" s="78"/>
      <c r="P17" s="78">
        <f>P15+P16</f>
        <v>214552.8</v>
      </c>
      <c r="Q17" s="741">
        <f>R15</f>
        <v>341861.93200519477</v>
      </c>
      <c r="R17" s="742"/>
    </row>
    <row r="18" spans="1:18" ht="27" customHeight="1">
      <c r="A18" s="665"/>
      <c r="B18" s="647" t="s">
        <v>20</v>
      </c>
      <c r="C18" s="648"/>
      <c r="D18" s="648"/>
      <c r="E18" s="648"/>
      <c r="F18" s="648"/>
      <c r="G18" s="648"/>
      <c r="H18" s="649"/>
      <c r="I18" s="644"/>
      <c r="J18" s="645"/>
      <c r="K18" s="161"/>
      <c r="L18" s="148">
        <v>5</v>
      </c>
      <c r="M18" s="646"/>
      <c r="N18" s="645"/>
      <c r="O18" s="634"/>
      <c r="P18" s="635"/>
      <c r="Q18" s="743"/>
      <c r="R18" s="744"/>
    </row>
    <row r="19" spans="1:18" ht="23.25" customHeight="1">
      <c r="A19" s="665"/>
      <c r="B19" s="647"/>
      <c r="C19" s="648"/>
      <c r="D19" s="648"/>
      <c r="E19" s="648"/>
      <c r="F19" s="648"/>
      <c r="G19" s="648"/>
      <c r="H19" s="649"/>
      <c r="I19" s="51" t="s">
        <v>21</v>
      </c>
      <c r="J19" s="148">
        <v>4</v>
      </c>
      <c r="K19" s="49" t="s">
        <v>21</v>
      </c>
      <c r="L19" s="5">
        <v>2</v>
      </c>
      <c r="M19" s="149" t="s">
        <v>21</v>
      </c>
      <c r="N19" s="148">
        <v>5</v>
      </c>
      <c r="O19" s="149" t="s">
        <v>21</v>
      </c>
      <c r="P19" s="148">
        <v>1</v>
      </c>
      <c r="Q19" s="147" t="s">
        <v>21</v>
      </c>
      <c r="R19" s="243">
        <v>3</v>
      </c>
    </row>
    <row r="20" spans="1:18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649"/>
      <c r="I20" s="102" t="s">
        <v>23</v>
      </c>
      <c r="J20" s="103">
        <f>IF(OR($H$17=0,I17=0),"-",I17-$H$17)</f>
        <v>138937.82054400002</v>
      </c>
      <c r="K20" s="102" t="s">
        <v>23</v>
      </c>
      <c r="L20" s="103">
        <f>IF(OR($H$17=0,L17=0),"-",L17-$H$17)</f>
        <v>20490.458111999964</v>
      </c>
      <c r="M20" s="102" t="s">
        <v>23</v>
      </c>
      <c r="N20" s="103">
        <f>IF(OR($H$17=0,M17=0),"-",M17-$H$17)</f>
        <v>155372.016</v>
      </c>
      <c r="O20" s="102" t="s">
        <v>23</v>
      </c>
      <c r="P20" s="103">
        <f>IF(OR($H$17=0,P17=0),"-",P17-$H$17)</f>
        <v>-24751.200000000012</v>
      </c>
      <c r="Q20" s="102" t="s">
        <v>23</v>
      </c>
      <c r="R20" s="103">
        <f>Q17-H17</f>
        <v>102557.93200519477</v>
      </c>
    </row>
    <row r="21" spans="1:18" ht="24.95" customHeight="1">
      <c r="A21" s="7"/>
      <c r="B21" s="650" t="s">
        <v>51</v>
      </c>
      <c r="C21" s="651"/>
      <c r="D21" s="651"/>
      <c r="E21" s="651"/>
      <c r="F21" s="651"/>
      <c r="G21" s="651"/>
      <c r="H21" s="652"/>
      <c r="I21" s="653">
        <f>J20*77</f>
        <v>10698212.181888001</v>
      </c>
      <c r="J21" s="654"/>
      <c r="K21" s="655">
        <f>L20*77</f>
        <v>1577765.2746239973</v>
      </c>
      <c r="L21" s="656"/>
      <c r="M21" s="657">
        <f>N20*77</f>
        <v>11963645.232000001</v>
      </c>
      <c r="N21" s="658"/>
      <c r="O21" s="657">
        <f>P20*77</f>
        <v>-1905842.4000000008</v>
      </c>
      <c r="P21" s="658"/>
      <c r="Q21" s="657">
        <f>R20*77</f>
        <v>7896960.7643999979</v>
      </c>
      <c r="R21" s="658"/>
    </row>
    <row r="22" spans="1:18" ht="24.95" customHeight="1">
      <c r="A22" s="7"/>
      <c r="B22" s="621" t="s">
        <v>20</v>
      </c>
      <c r="C22" s="622"/>
      <c r="D22" s="622"/>
      <c r="E22" s="622"/>
      <c r="F22" s="622"/>
      <c r="G22" s="622"/>
      <c r="H22" s="623"/>
      <c r="I22" s="659" t="str">
        <f>IF(OR($H$17=0,I17=0),"",IF(I17&lt;=$H$17,$C$49,$C$50))</f>
        <v>Precio mayor al presupuesto</v>
      </c>
      <c r="J22" s="660"/>
      <c r="K22" s="661" t="str">
        <f>IF(OR($H$17=0,L17=0),"",IF(L17&lt;=$H$17,$C$49,$C$50))</f>
        <v>Precio mayor al presupuesto</v>
      </c>
      <c r="L22" s="662"/>
      <c r="M22" s="663" t="str">
        <f>IF(OR($H$17=0,M17=0),"",IF(M17&lt;=$H$17,$C$49,$C$50))</f>
        <v>Precio mayor al presupuesto</v>
      </c>
      <c r="N22" s="660"/>
      <c r="O22" s="663" t="str">
        <f>IF(OR($H$17=0,P17=0),"",IF(P17&lt;=$H$17,$C$49,$C$50))</f>
        <v>Precio menor o igual al presupuesto</v>
      </c>
      <c r="P22" s="660"/>
      <c r="Q22" s="663" t="str">
        <f t="shared" ref="Q22" si="2">IF(OR($H$17=0,Q17=0),"",IF(Q17&lt;=$H$17,$C$49,$C$50))</f>
        <v>Precio mayor al presupuesto</v>
      </c>
      <c r="R22" s="660"/>
    </row>
    <row r="23" spans="1:18" ht="24.95" customHeight="1">
      <c r="A23" s="7"/>
      <c r="B23" s="621"/>
      <c r="C23" s="622"/>
      <c r="D23" s="622"/>
      <c r="E23" s="622"/>
      <c r="F23" s="622"/>
      <c r="G23" s="622"/>
      <c r="H23" s="623"/>
      <c r="I23" s="244" t="s">
        <v>21</v>
      </c>
      <c r="J23" s="109">
        <f>IF(I22=$C$49,$F$49,0)</f>
        <v>0</v>
      </c>
      <c r="K23" s="245" t="s">
        <v>21</v>
      </c>
      <c r="L23" s="245">
        <f>IF(K22=$C$49,$F$49,0)</f>
        <v>0</v>
      </c>
      <c r="M23" s="108" t="s">
        <v>21</v>
      </c>
      <c r="N23" s="109">
        <f>IF(M22=$C$49,$F$49,0)</f>
        <v>0</v>
      </c>
      <c r="O23" s="108" t="s">
        <v>21</v>
      </c>
      <c r="P23" s="109">
        <f>IF(O22=$C$49,$F$49,0)</f>
        <v>2</v>
      </c>
      <c r="Q23" s="108" t="s">
        <v>21</v>
      </c>
      <c r="R23" s="109">
        <f>IF(Q22=$C$49,$F$49,0)</f>
        <v>0</v>
      </c>
    </row>
    <row r="24" spans="1:18" ht="24.95" customHeight="1">
      <c r="A24" s="7"/>
      <c r="B24" s="621" t="s">
        <v>22</v>
      </c>
      <c r="C24" s="622"/>
      <c r="D24" s="622"/>
      <c r="E24" s="622"/>
      <c r="F24" s="622"/>
      <c r="G24" s="622"/>
      <c r="H24" s="623"/>
      <c r="I24" s="244" t="s">
        <v>23</v>
      </c>
      <c r="J24" s="101">
        <f>IF(OR($H$17=0,I17=0),"-",I17-$H$17)</f>
        <v>138937.82054400002</v>
      </c>
      <c r="K24" s="246" t="s">
        <v>23</v>
      </c>
      <c r="L24" s="246">
        <f>IF(OR($H$17=0,L17=0),"-",L17-$H$17)</f>
        <v>20490.458111999964</v>
      </c>
      <c r="M24" s="108" t="s">
        <v>23</v>
      </c>
      <c r="N24" s="101">
        <f>IF(OR($H$17=0,M17=0),"-",M17-$H$17)</f>
        <v>155372.016</v>
      </c>
      <c r="O24" s="108" t="s">
        <v>23</v>
      </c>
      <c r="P24" s="101">
        <f>IF(OR($H$17=0,P17=0),"-",P17-$H$17)</f>
        <v>-24751.200000000012</v>
      </c>
      <c r="Q24" s="108" t="s">
        <v>23</v>
      </c>
      <c r="R24" s="101">
        <f>IF(OR($H$17=0,Q17=0),"-",Q17-$H$17)</f>
        <v>102557.93200519477</v>
      </c>
    </row>
    <row r="25" spans="1:18" ht="34.5" customHeight="1">
      <c r="A25" s="7"/>
      <c r="B25" s="621"/>
      <c r="C25" s="622"/>
      <c r="D25" s="622"/>
      <c r="E25" s="622"/>
      <c r="F25" s="622"/>
      <c r="G25" s="622"/>
      <c r="H25" s="623"/>
      <c r="I25" s="111" t="s">
        <v>21</v>
      </c>
      <c r="J25" s="50">
        <f>IF(AND(J24&lt;N24,J24&lt;P24,J24&lt;R24,J24&lt;L24),2,0)</f>
        <v>0</v>
      </c>
      <c r="K25" s="247" t="s">
        <v>21</v>
      </c>
      <c r="L25" s="247">
        <f>IF(AND(L24&lt;P24,L24&lt;R24,L24&lt;J24,L24&lt;N24),2,0)</f>
        <v>0</v>
      </c>
      <c r="M25" s="110" t="s">
        <v>21</v>
      </c>
      <c r="N25" s="50">
        <f>IF(AND(N24&lt;R24,N24&lt;J24,N24&lt;L24,N24&lt;P24),2,0)</f>
        <v>0</v>
      </c>
      <c r="O25" s="105" t="s">
        <v>21</v>
      </c>
      <c r="P25" s="50">
        <f>IF(AND(P24&lt;R24,P24&lt;N24,P24&lt;J24,P24&lt;L24),2,0)</f>
        <v>2</v>
      </c>
      <c r="Q25" s="105" t="s">
        <v>21</v>
      </c>
      <c r="R25" s="50">
        <f>IF(AND(R24&lt;J24,R24&lt;P24,R24&lt;N24,R24&lt;L24),2,0)</f>
        <v>0</v>
      </c>
    </row>
    <row r="26" spans="1:18" ht="34.5" customHeight="1">
      <c r="A26" s="7"/>
      <c r="B26" s="628" t="s">
        <v>53</v>
      </c>
      <c r="C26" s="629"/>
      <c r="D26" s="629"/>
      <c r="E26" s="629"/>
      <c r="F26" s="629"/>
      <c r="G26" s="629"/>
      <c r="H26" s="629"/>
      <c r="I26" s="642" t="str">
        <f>C56</f>
        <v>Por valuación de obra ejecutada con anticipo</v>
      </c>
      <c r="J26" s="643"/>
      <c r="K26" s="642" t="str">
        <f>C56</f>
        <v>Por valuación de obra ejecutada con anticipo</v>
      </c>
      <c r="L26" s="643"/>
      <c r="M26" s="642" t="str">
        <f>C56</f>
        <v>Por valuación de obra ejecutada con anticipo</v>
      </c>
      <c r="N26" s="643"/>
      <c r="O26" s="642" t="str">
        <f>C56</f>
        <v>Por valuación de obra ejecutada con anticipo</v>
      </c>
      <c r="P26" s="643"/>
      <c r="Q26" s="642" t="str">
        <f>C56</f>
        <v>Por valuación de obra ejecutada con anticipo</v>
      </c>
      <c r="R26" s="643"/>
    </row>
    <row r="27" spans="1:18" ht="24.95" customHeight="1">
      <c r="B27" s="638"/>
      <c r="C27" s="639"/>
      <c r="D27" s="639"/>
      <c r="E27" s="639"/>
      <c r="F27" s="639"/>
      <c r="G27" s="639"/>
      <c r="H27" s="639"/>
      <c r="I27" s="113" t="s">
        <v>21</v>
      </c>
      <c r="J27" s="114">
        <v>2</v>
      </c>
      <c r="K27" s="113" t="s">
        <v>21</v>
      </c>
      <c r="L27" s="114">
        <v>2</v>
      </c>
      <c r="M27" s="113" t="s">
        <v>21</v>
      </c>
      <c r="N27" s="114">
        <v>2</v>
      </c>
      <c r="O27" s="113" t="s">
        <v>21</v>
      </c>
      <c r="P27" s="114">
        <v>2</v>
      </c>
      <c r="Q27" s="113" t="s">
        <v>21</v>
      </c>
      <c r="R27" s="114">
        <v>2</v>
      </c>
    </row>
    <row r="28" spans="1:18" ht="24.95" customHeight="1">
      <c r="B28" s="638"/>
      <c r="C28" s="639"/>
      <c r="D28" s="639"/>
      <c r="E28" s="639"/>
      <c r="F28" s="639"/>
      <c r="G28" s="639"/>
      <c r="H28" s="639"/>
      <c r="I28" s="248" t="s">
        <v>110</v>
      </c>
      <c r="J28" s="249"/>
      <c r="K28" s="248" t="s">
        <v>110</v>
      </c>
      <c r="L28" s="249"/>
      <c r="M28" s="248" t="s">
        <v>110</v>
      </c>
      <c r="N28" s="250"/>
      <c r="O28" s="248" t="s">
        <v>110</v>
      </c>
      <c r="P28" s="114"/>
      <c r="Q28" s="248" t="s">
        <v>110</v>
      </c>
      <c r="R28" s="114"/>
    </row>
    <row r="29" spans="1:18" ht="24.95" customHeight="1">
      <c r="B29" s="638"/>
      <c r="C29" s="639"/>
      <c r="D29" s="639"/>
      <c r="E29" s="639"/>
      <c r="F29" s="639"/>
      <c r="G29" s="639"/>
      <c r="H29" s="639"/>
      <c r="I29" s="248" t="s">
        <v>111</v>
      </c>
      <c r="J29" s="249"/>
      <c r="K29" s="248" t="s">
        <v>111</v>
      </c>
      <c r="L29" s="251"/>
      <c r="M29" s="248" t="s">
        <v>111</v>
      </c>
      <c r="N29" s="250"/>
      <c r="O29" s="248" t="s">
        <v>111</v>
      </c>
      <c r="P29" s="114"/>
      <c r="Q29" s="248" t="s">
        <v>111</v>
      </c>
      <c r="R29" s="114"/>
    </row>
    <row r="30" spans="1:18" ht="24.95" customHeight="1">
      <c r="B30" s="638"/>
      <c r="C30" s="639"/>
      <c r="D30" s="639"/>
      <c r="E30" s="639"/>
      <c r="F30" s="639"/>
      <c r="G30" s="639"/>
      <c r="H30" s="639"/>
      <c r="I30" s="248" t="s">
        <v>112</v>
      </c>
      <c r="J30" s="249"/>
      <c r="K30" s="248" t="s">
        <v>112</v>
      </c>
      <c r="L30" s="251"/>
      <c r="M30" s="248" t="s">
        <v>112</v>
      </c>
      <c r="N30" s="250"/>
      <c r="O30" s="248" t="s">
        <v>112</v>
      </c>
      <c r="P30" s="114"/>
      <c r="Q30" s="248" t="s">
        <v>112</v>
      </c>
      <c r="R30" s="114"/>
    </row>
    <row r="31" spans="1:18" ht="24.95" customHeight="1">
      <c r="B31" s="640"/>
      <c r="C31" s="641"/>
      <c r="D31" s="641"/>
      <c r="E31" s="641"/>
      <c r="F31" s="641"/>
      <c r="G31" s="641"/>
      <c r="H31" s="641"/>
      <c r="I31" s="248" t="s">
        <v>113</v>
      </c>
      <c r="J31" s="249"/>
      <c r="K31" s="248" t="s">
        <v>113</v>
      </c>
      <c r="L31" s="251"/>
      <c r="M31" s="248" t="s">
        <v>113</v>
      </c>
      <c r="N31" s="250"/>
      <c r="O31" s="248" t="s">
        <v>113</v>
      </c>
      <c r="P31" s="114"/>
      <c r="Q31" s="248" t="s">
        <v>113</v>
      </c>
      <c r="R31" s="114"/>
    </row>
    <row r="32" spans="1:18" ht="24.95" customHeight="1">
      <c r="B32" s="621" t="s">
        <v>54</v>
      </c>
      <c r="C32" s="622"/>
      <c r="D32" s="622"/>
      <c r="E32" s="622"/>
      <c r="F32" s="622"/>
      <c r="G32" s="622"/>
      <c r="H32" s="623"/>
      <c r="I32" s="624" t="str">
        <f>C63</f>
        <v>A los 60 días</v>
      </c>
      <c r="J32" s="625"/>
      <c r="K32" s="624" t="str">
        <f>C63</f>
        <v>A los 60 días</v>
      </c>
      <c r="L32" s="625"/>
      <c r="M32" s="624" t="str">
        <f>C63</f>
        <v>A los 60 días</v>
      </c>
      <c r="N32" s="625"/>
      <c r="O32" s="624" t="str">
        <f>C63</f>
        <v>A los 60 días</v>
      </c>
      <c r="P32" s="625"/>
      <c r="Q32" s="624" t="str">
        <f>C63</f>
        <v>A los 60 días</v>
      </c>
      <c r="R32" s="625"/>
    </row>
    <row r="33" spans="2:18" ht="47.25" customHeight="1">
      <c r="B33" s="621"/>
      <c r="C33" s="622"/>
      <c r="D33" s="622"/>
      <c r="E33" s="622"/>
      <c r="F33" s="622"/>
      <c r="G33" s="622"/>
      <c r="H33" s="623"/>
      <c r="I33" s="252" t="s">
        <v>21</v>
      </c>
      <c r="J33" s="112">
        <f>IF(I32=$C$60,$F$60,IF(I32=$C$61,$F$61,IF(I32=$C$62,$F$62,IF(I32=$C$63,F63,0))))</f>
        <v>0</v>
      </c>
      <c r="K33" s="106" t="s">
        <v>21</v>
      </c>
      <c r="L33" s="247">
        <f>IF(K32=$C$60,$F$60,IF(K32=$C$61,$F$61,IF(K32=$C$62,$F$62,IF(K32=$C$63,H63,0))))</f>
        <v>0</v>
      </c>
      <c r="M33" s="115" t="s">
        <v>21</v>
      </c>
      <c r="N33" s="116">
        <f t="shared" ref="N33" si="3">IF(M32=$C$60,$F$60,IF(M32=$C$61,$F$61,IF(M32=$C$62,$F$62,0)))</f>
        <v>0</v>
      </c>
      <c r="O33" s="115" t="s">
        <v>21</v>
      </c>
      <c r="P33" s="116">
        <f t="shared" ref="P33" si="4">IF(O32=$C$60,$F$60,IF(O32=$C$61,$F$61,IF(O32=$C$62,$F$62,0)))</f>
        <v>0</v>
      </c>
      <c r="Q33" s="115" t="s">
        <v>21</v>
      </c>
      <c r="R33" s="117">
        <f t="shared" ref="R33" si="5">IF(Q32=$C$60,$F$60,IF(Q32=$C$61,$F$61,IF(Q32=$C$62,$F$62,0)))</f>
        <v>0</v>
      </c>
    </row>
    <row r="34" spans="2:18" ht="33.75" customHeight="1">
      <c r="B34" s="621" t="s">
        <v>56</v>
      </c>
      <c r="C34" s="622"/>
      <c r="D34" s="622"/>
      <c r="E34" s="622"/>
      <c r="F34" s="622"/>
      <c r="G34" s="622"/>
      <c r="H34" s="623"/>
      <c r="I34" s="626" t="s">
        <v>45</v>
      </c>
      <c r="J34" s="627"/>
      <c r="K34" s="626" t="s">
        <v>45</v>
      </c>
      <c r="L34" s="627"/>
      <c r="M34" s="626" t="s">
        <v>45</v>
      </c>
      <c r="N34" s="627"/>
      <c r="O34" s="626" t="s">
        <v>45</v>
      </c>
      <c r="P34" s="627"/>
      <c r="Q34" s="626" t="s">
        <v>45</v>
      </c>
      <c r="R34" s="627"/>
    </row>
    <row r="35" spans="2:18" ht="30" customHeight="1">
      <c r="B35" s="621"/>
      <c r="C35" s="622"/>
      <c r="D35" s="622"/>
      <c r="E35" s="622"/>
      <c r="F35" s="622"/>
      <c r="G35" s="622"/>
      <c r="H35" s="623"/>
      <c r="I35" s="51" t="s">
        <v>21</v>
      </c>
      <c r="J35" s="118">
        <f>IF(I34=$C$65,$F$65,0)</f>
        <v>2</v>
      </c>
      <c r="K35" s="253" t="s">
        <v>21</v>
      </c>
      <c r="L35" s="253">
        <f>IF(K34=$C$65,$F$65,0)</f>
        <v>2</v>
      </c>
      <c r="M35" s="51" t="s">
        <v>21</v>
      </c>
      <c r="N35" s="118">
        <f t="shared" ref="N35" si="6">IF(M34=$C$65,$F$65,0)</f>
        <v>2</v>
      </c>
      <c r="O35" s="51" t="s">
        <v>21</v>
      </c>
      <c r="P35" s="118">
        <f t="shared" ref="P35" si="7">IF(O34=$C$65,$F$65,0)</f>
        <v>2</v>
      </c>
      <c r="Q35" s="51" t="s">
        <v>21</v>
      </c>
      <c r="R35" s="118">
        <f t="shared" ref="R35" si="8">IF(Q34=$C$65,$F$65,0)</f>
        <v>2</v>
      </c>
    </row>
    <row r="36" spans="2:18" ht="30" customHeight="1">
      <c r="B36" s="628" t="s">
        <v>57</v>
      </c>
      <c r="C36" s="629"/>
      <c r="D36" s="629"/>
      <c r="E36" s="629"/>
      <c r="F36" s="629"/>
      <c r="G36" s="629"/>
      <c r="H36" s="629"/>
      <c r="I36" s="634" t="str">
        <f>C68</f>
        <v>Excelente</v>
      </c>
      <c r="J36" s="635"/>
      <c r="K36" s="634" t="str">
        <f>C68</f>
        <v>Excelente</v>
      </c>
      <c r="L36" s="635"/>
      <c r="M36" s="634" t="str">
        <f>C68</f>
        <v>Excelente</v>
      </c>
      <c r="N36" s="635"/>
      <c r="O36" s="634" t="str">
        <f>C69</f>
        <v>Medio</v>
      </c>
      <c r="P36" s="635"/>
      <c r="Q36" s="634" t="str">
        <f>C68</f>
        <v>Excelente</v>
      </c>
      <c r="R36" s="635"/>
    </row>
    <row r="37" spans="2:18" ht="24.95" customHeight="1" thickBot="1">
      <c r="B37" s="630"/>
      <c r="C37" s="631"/>
      <c r="D37" s="631"/>
      <c r="E37" s="631"/>
      <c r="F37" s="631"/>
      <c r="G37" s="631"/>
      <c r="H37" s="631"/>
      <c r="I37" s="254" t="s">
        <v>21</v>
      </c>
      <c r="J37" s="123">
        <f>IF(I36=$C$68,$F$68,IF(I36=$C$69,$F$69,0))</f>
        <v>2</v>
      </c>
      <c r="K37" s="255" t="s">
        <v>21</v>
      </c>
      <c r="L37" s="255">
        <f>IF(K36=$C$68,$F$68,IF(K36=$C$69,$F$69,0))</f>
        <v>2</v>
      </c>
      <c r="M37" s="124" t="s">
        <v>21</v>
      </c>
      <c r="N37" s="123">
        <f>IF(M36=$C$68,$F$68,IF(M36=$C$69,$F$69,0))</f>
        <v>2</v>
      </c>
      <c r="O37" s="124" t="s">
        <v>21</v>
      </c>
      <c r="P37" s="125">
        <f>IF(O36=$C$68,$F$68,IF(O36=$C$69,$F$69,0))</f>
        <v>0</v>
      </c>
      <c r="Q37" s="124" t="s">
        <v>21</v>
      </c>
      <c r="R37" s="126">
        <f>IF(Q36=$C$68,$F$68,IF(Q36=$C$69,$F$69,0))</f>
        <v>2</v>
      </c>
    </row>
    <row r="38" spans="2:18" ht="24.95" customHeight="1" thickBot="1">
      <c r="B38" s="119"/>
      <c r="C38" s="120"/>
      <c r="D38" s="120"/>
      <c r="E38" s="120"/>
      <c r="F38" s="120"/>
      <c r="G38" s="120"/>
      <c r="H38" s="120"/>
      <c r="I38" s="256"/>
      <c r="J38" s="134"/>
      <c r="K38" s="257"/>
      <c r="L38" s="257"/>
      <c r="M38" s="135"/>
      <c r="N38" s="134"/>
      <c r="O38" s="135"/>
      <c r="P38" s="136"/>
      <c r="Q38" s="135"/>
      <c r="R38" s="137"/>
    </row>
    <row r="39" spans="2:18" ht="24.95" customHeight="1" thickBot="1">
      <c r="B39" s="119"/>
      <c r="C39" s="120"/>
      <c r="D39" s="120"/>
      <c r="E39" s="120"/>
      <c r="F39" s="120"/>
      <c r="G39" s="120"/>
      <c r="H39" s="120"/>
      <c r="I39" s="256"/>
      <c r="J39" s="134"/>
      <c r="K39" s="257"/>
      <c r="L39" s="257"/>
      <c r="M39" s="135"/>
      <c r="N39" s="134"/>
      <c r="O39" s="135"/>
      <c r="P39" s="136"/>
      <c r="Q39" s="135"/>
      <c r="R39" s="137"/>
    </row>
    <row r="40" spans="2:18" ht="24.95" customHeight="1" thickBot="1">
      <c r="B40" s="636" t="s">
        <v>62</v>
      </c>
      <c r="C40" s="637"/>
      <c r="D40" s="637"/>
      <c r="E40" s="637"/>
      <c r="F40" s="637"/>
      <c r="G40" s="637"/>
      <c r="H40" s="637"/>
      <c r="I40" s="127"/>
      <c r="J40" s="131">
        <f>J23+J25+J27+J33+J35+J37</f>
        <v>6</v>
      </c>
      <c r="K40" s="128"/>
      <c r="L40" s="128">
        <f>L23+L25+L27+L33+L35+L37</f>
        <v>6</v>
      </c>
      <c r="M40" s="129"/>
      <c r="N40" s="132">
        <f>N23+N25+N27+N33+N35+N37</f>
        <v>6</v>
      </c>
      <c r="O40" s="130"/>
      <c r="P40" s="142">
        <f>P23+P25+P27+P33+P35+P37</f>
        <v>8</v>
      </c>
      <c r="Q40" s="27"/>
      <c r="R40" s="142">
        <f>R23+R25+R27+R33+R35+R37</f>
        <v>6</v>
      </c>
    </row>
    <row r="41" spans="2:18" ht="24.95" customHeight="1" thickBot="1">
      <c r="B41" s="620" t="s">
        <v>61</v>
      </c>
      <c r="C41" s="620"/>
      <c r="D41" s="620"/>
      <c r="E41" s="620"/>
      <c r="F41" s="620"/>
      <c r="G41" s="620"/>
      <c r="H41" s="620"/>
      <c r="I41" s="131"/>
      <c r="J41" s="128">
        <v>10</v>
      </c>
      <c r="K41" s="128"/>
      <c r="L41" s="128">
        <v>10</v>
      </c>
      <c r="M41" s="131"/>
      <c r="N41" s="128">
        <v>10</v>
      </c>
      <c r="O41" s="138"/>
      <c r="P41" s="140">
        <v>10</v>
      </c>
      <c r="Q41" s="139"/>
      <c r="R41" s="141">
        <v>10</v>
      </c>
    </row>
    <row r="42" spans="2:18" ht="24.95" customHeight="1" thickBot="1">
      <c r="B42" s="616" t="s">
        <v>63</v>
      </c>
      <c r="C42" s="616"/>
      <c r="D42" s="616"/>
      <c r="E42" s="616"/>
      <c r="F42" s="616"/>
      <c r="G42" s="616"/>
      <c r="H42" s="616"/>
      <c r="I42" s="258"/>
      <c r="J42" s="145">
        <f>J40+J41</f>
        <v>16</v>
      </c>
      <c r="K42" s="259"/>
      <c r="L42" s="145">
        <f>L40+L41</f>
        <v>16</v>
      </c>
      <c r="M42" s="260"/>
      <c r="N42" s="145">
        <f>N40+N41</f>
        <v>16</v>
      </c>
      <c r="O42" s="261"/>
      <c r="P42" s="144">
        <f>P40+P41</f>
        <v>18</v>
      </c>
      <c r="Q42" s="262"/>
      <c r="R42" s="144">
        <f>R40+R41</f>
        <v>16</v>
      </c>
    </row>
    <row r="43" spans="2:18" ht="24.95" customHeight="1">
      <c r="B43" s="69"/>
      <c r="C43" s="70" t="s">
        <v>24</v>
      </c>
      <c r="D43" s="71"/>
      <c r="E43" s="70" t="s">
        <v>25</v>
      </c>
      <c r="F43" s="71"/>
      <c r="G43" s="69"/>
      <c r="H43" s="69"/>
      <c r="I43" s="72" t="str">
        <f>IF($H$17&gt;(3000*$I$48),"COORDINADOR DE PROYECTOS","")</f>
        <v>COORDINADOR DE PROYECTOS</v>
      </c>
      <c r="J43" s="69"/>
      <c r="K43" s="69"/>
      <c r="L43" s="69"/>
      <c r="M43" s="69"/>
      <c r="N43" s="73" t="str">
        <f>IF($H$17&gt;(7500*$I$48),"GERENTE TÉCNICO","")</f>
        <v>GERENTE TÉCNICO</v>
      </c>
      <c r="Q43" s="45"/>
      <c r="R43" s="99"/>
    </row>
    <row r="44" spans="2:18" ht="24.95" customHeight="1">
      <c r="B44" s="26"/>
      <c r="C44" s="22"/>
      <c r="D44" s="26"/>
      <c r="E44" s="48" t="s">
        <v>4</v>
      </c>
      <c r="F44" s="26"/>
      <c r="G44" s="26"/>
      <c r="H44" s="26"/>
      <c r="I44" s="26" t="str">
        <f>IF(I43&lt;&gt;"","FECHA:","")</f>
        <v>FECHA:</v>
      </c>
      <c r="J44" s="26"/>
      <c r="K44" s="26"/>
      <c r="L44" s="26"/>
      <c r="M44" s="26"/>
      <c r="N44" s="48" t="str">
        <f>IF(N43&lt;&gt;"","FECHA:","")</f>
        <v>FECHA:</v>
      </c>
      <c r="P44" s="73"/>
      <c r="R44" s="46"/>
    </row>
    <row r="45" spans="2:18" ht="24.95" customHeight="1">
      <c r="B45" s="47"/>
      <c r="C45" s="47"/>
      <c r="H45" s="104"/>
      <c r="N45" s="100"/>
      <c r="Q45" s="46"/>
    </row>
    <row r="46" spans="2:18" ht="24.95" customHeight="1">
      <c r="O46" s="91"/>
    </row>
    <row r="47" spans="2:18" ht="24.95" customHeight="1">
      <c r="C47" s="617" t="s">
        <v>26</v>
      </c>
      <c r="D47" s="618"/>
      <c r="E47" s="619"/>
      <c r="F47" s="13" t="s">
        <v>27</v>
      </c>
      <c r="H47" s="65" t="s">
        <v>28</v>
      </c>
      <c r="I47" s="66">
        <f ca="1">TODAY()</f>
        <v>46233</v>
      </c>
      <c r="J47" s="6"/>
      <c r="K47" s="6"/>
      <c r="L47" s="6"/>
      <c r="M47" s="14"/>
      <c r="N47"/>
      <c r="O47"/>
      <c r="P47"/>
      <c r="Q47" s="6"/>
      <c r="R47" s="6"/>
    </row>
    <row r="48" spans="2:18" ht="24.95" customHeight="1">
      <c r="C48" s="610" t="s">
        <v>29</v>
      </c>
      <c r="D48" s="611"/>
      <c r="E48" s="611"/>
      <c r="F48" s="52"/>
      <c r="H48" s="67" t="s">
        <v>30</v>
      </c>
      <c r="I48" s="68"/>
    </row>
    <row r="49" spans="1:12" ht="24.95" customHeight="1">
      <c r="B49" s="7"/>
      <c r="C49" s="53" t="s">
        <v>31</v>
      </c>
      <c r="D49" s="54"/>
      <c r="E49" s="55"/>
      <c r="F49" s="56">
        <v>2</v>
      </c>
    </row>
    <row r="50" spans="1:12" ht="24.95" customHeight="1">
      <c r="B50" s="7"/>
      <c r="C50" s="57" t="s">
        <v>32</v>
      </c>
      <c r="D50" s="58"/>
      <c r="E50" s="59"/>
      <c r="F50" s="60">
        <v>0</v>
      </c>
      <c r="H50" s="15"/>
      <c r="I50" s="80"/>
      <c r="J50" s="79"/>
      <c r="K50" s="79"/>
      <c r="L50" s="79"/>
    </row>
    <row r="51" spans="1:12" ht="24.95" customHeight="1">
      <c r="C51" s="610" t="s">
        <v>33</v>
      </c>
      <c r="D51" s="611"/>
      <c r="E51" s="611"/>
      <c r="F51" s="52"/>
      <c r="I51" s="80"/>
      <c r="J51" s="79"/>
      <c r="K51" s="79"/>
      <c r="L51" s="79"/>
    </row>
    <row r="52" spans="1:12" ht="24.95" customHeight="1">
      <c r="B52" s="7"/>
      <c r="C52" s="53" t="s">
        <v>34</v>
      </c>
      <c r="D52" s="54"/>
      <c r="E52" s="55"/>
      <c r="F52" s="56">
        <v>2</v>
      </c>
    </row>
    <row r="53" spans="1:12" ht="24.95" customHeight="1">
      <c r="B53" s="7"/>
      <c r="C53" s="57" t="s">
        <v>35</v>
      </c>
      <c r="D53" s="58"/>
      <c r="E53" s="59"/>
      <c r="F53" s="60">
        <v>0</v>
      </c>
    </row>
    <row r="54" spans="1:12" ht="24.95" customHeight="1">
      <c r="A54" s="6"/>
      <c r="C54" s="610" t="s">
        <v>36</v>
      </c>
      <c r="D54" s="611"/>
      <c r="E54" s="611"/>
      <c r="F54" s="52"/>
    </row>
    <row r="55" spans="1:12" ht="24.95" customHeight="1">
      <c r="C55" s="57" t="s">
        <v>37</v>
      </c>
      <c r="D55" s="58"/>
      <c r="E55" s="59"/>
      <c r="F55" s="60">
        <v>3</v>
      </c>
      <c r="H55" s="6"/>
    </row>
    <row r="56" spans="1:12" ht="24.95" customHeight="1">
      <c r="C56" s="57" t="s">
        <v>38</v>
      </c>
      <c r="D56" s="58"/>
      <c r="E56" s="59"/>
      <c r="F56" s="60">
        <v>2</v>
      </c>
      <c r="H56" s="6"/>
    </row>
    <row r="57" spans="1:12" ht="24.95" customHeight="1">
      <c r="C57" s="57" t="s">
        <v>39</v>
      </c>
      <c r="D57" s="58"/>
      <c r="E57" s="59"/>
      <c r="F57" s="60">
        <v>1</v>
      </c>
      <c r="H57" s="6"/>
    </row>
    <row r="58" spans="1:12" ht="24.95" customHeight="1">
      <c r="C58" s="57" t="s">
        <v>73</v>
      </c>
      <c r="D58" s="58"/>
      <c r="E58" s="59"/>
      <c r="F58" s="60">
        <v>0</v>
      </c>
      <c r="H58" s="6"/>
    </row>
    <row r="59" spans="1:12" ht="24.95" customHeight="1">
      <c r="C59" s="610" t="s">
        <v>40</v>
      </c>
      <c r="D59" s="611"/>
      <c r="E59" s="611"/>
      <c r="F59" s="52"/>
    </row>
    <row r="60" spans="1:12" ht="24.95" customHeight="1">
      <c r="C60" s="61" t="s">
        <v>41</v>
      </c>
      <c r="D60" s="58"/>
      <c r="E60" s="59"/>
      <c r="F60" s="60">
        <v>3</v>
      </c>
    </row>
    <row r="61" spans="1:12" ht="24.95" customHeight="1">
      <c r="C61" s="61" t="s">
        <v>42</v>
      </c>
      <c r="D61" s="58"/>
      <c r="E61" s="59"/>
      <c r="F61" s="60">
        <v>2</v>
      </c>
    </row>
    <row r="62" spans="1:12" ht="24.95" customHeight="1">
      <c r="C62" s="61" t="s">
        <v>43</v>
      </c>
      <c r="D62" s="58"/>
      <c r="E62" s="59"/>
      <c r="F62" s="60">
        <v>1</v>
      </c>
    </row>
    <row r="63" spans="1:12" ht="24.95" customHeight="1">
      <c r="C63" s="61" t="s">
        <v>55</v>
      </c>
      <c r="D63" s="58"/>
      <c r="E63" s="58"/>
      <c r="F63" s="52">
        <v>0</v>
      </c>
    </row>
    <row r="64" spans="1:12" ht="24.95" customHeight="1">
      <c r="C64" s="610" t="s">
        <v>44</v>
      </c>
      <c r="D64" s="611"/>
      <c r="E64" s="611"/>
      <c r="F64" s="52"/>
    </row>
    <row r="65" spans="2:8" ht="24.95" customHeight="1">
      <c r="C65" s="57" t="s">
        <v>45</v>
      </c>
      <c r="D65" s="58"/>
      <c r="E65" s="59"/>
      <c r="F65" s="60">
        <v>2</v>
      </c>
    </row>
    <row r="66" spans="2:8" ht="24.95" customHeight="1">
      <c r="C66" s="57" t="s">
        <v>46</v>
      </c>
      <c r="D66" s="58"/>
      <c r="E66" s="59"/>
      <c r="F66" s="60">
        <v>0</v>
      </c>
    </row>
    <row r="67" spans="2:8" ht="24.95" customHeight="1">
      <c r="C67" s="610" t="s">
        <v>58</v>
      </c>
      <c r="D67" s="611"/>
      <c r="E67" s="611"/>
      <c r="F67" s="612"/>
    </row>
    <row r="68" spans="2:8" ht="24.95" customHeight="1">
      <c r="C68" s="57" t="s">
        <v>59</v>
      </c>
      <c r="D68" s="58"/>
      <c r="E68" s="59"/>
      <c r="F68" s="60">
        <v>2</v>
      </c>
    </row>
    <row r="69" spans="2:8" ht="24.95" customHeight="1">
      <c r="C69" s="57" t="s">
        <v>60</v>
      </c>
      <c r="D69" s="58"/>
      <c r="E69" s="59"/>
      <c r="F69" s="60">
        <v>0</v>
      </c>
    </row>
    <row r="70" spans="2:8" ht="24.95" customHeight="1">
      <c r="C70" s="613" t="s">
        <v>47</v>
      </c>
      <c r="D70" s="614"/>
      <c r="E70" s="615"/>
      <c r="F70" s="62" t="s">
        <v>48</v>
      </c>
    </row>
    <row r="71" spans="2:8" ht="24.95" customHeight="1">
      <c r="B71" s="6"/>
      <c r="C71" s="63"/>
      <c r="D71" s="63"/>
      <c r="E71" s="63" t="s">
        <v>15</v>
      </c>
      <c r="F71" s="64">
        <f>10+F49+F52+F55+F60+F65+F68</f>
        <v>24</v>
      </c>
      <c r="H71" s="6"/>
    </row>
    <row r="72" spans="2:8" ht="20.100000000000001" customHeight="1"/>
  </sheetData>
  <mergeCells count="87">
    <mergeCell ref="B5:C5"/>
    <mergeCell ref="D5:G5"/>
    <mergeCell ref="A1:R1"/>
    <mergeCell ref="B3:C3"/>
    <mergeCell ref="D3:G3"/>
    <mergeCell ref="B4:C4"/>
    <mergeCell ref="D4:G4"/>
    <mergeCell ref="I6:R6"/>
    <mergeCell ref="B7:H7"/>
    <mergeCell ref="I7:J7"/>
    <mergeCell ref="K7:L7"/>
    <mergeCell ref="M7:N7"/>
    <mergeCell ref="O7:P7"/>
    <mergeCell ref="Q7:R7"/>
    <mergeCell ref="Q16:R16"/>
    <mergeCell ref="C8:D8"/>
    <mergeCell ref="A9:A14"/>
    <mergeCell ref="C9:D9"/>
    <mergeCell ref="C10:D10"/>
    <mergeCell ref="C11:D11"/>
    <mergeCell ref="C12:D12"/>
    <mergeCell ref="C13:D13"/>
    <mergeCell ref="C14:D14"/>
    <mergeCell ref="A15:A16"/>
    <mergeCell ref="B15:G15"/>
    <mergeCell ref="B16:G16"/>
    <mergeCell ref="I16:J16"/>
    <mergeCell ref="M16:N16"/>
    <mergeCell ref="M21:N21"/>
    <mergeCell ref="Q21:R21"/>
    <mergeCell ref="A17:A20"/>
    <mergeCell ref="B17:G17"/>
    <mergeCell ref="I17:J17"/>
    <mergeCell ref="M17:N17"/>
    <mergeCell ref="Q17:R17"/>
    <mergeCell ref="B18:H19"/>
    <mergeCell ref="I18:J18"/>
    <mergeCell ref="M18:N18"/>
    <mergeCell ref="O18:P18"/>
    <mergeCell ref="Q18:R18"/>
    <mergeCell ref="B20:H20"/>
    <mergeCell ref="Q22:R22"/>
    <mergeCell ref="O21:P21"/>
    <mergeCell ref="B24:H25"/>
    <mergeCell ref="B26:H31"/>
    <mergeCell ref="I26:J26"/>
    <mergeCell ref="K26:L26"/>
    <mergeCell ref="M26:N26"/>
    <mergeCell ref="Q26:R26"/>
    <mergeCell ref="B22:H23"/>
    <mergeCell ref="I22:J22"/>
    <mergeCell ref="K22:L22"/>
    <mergeCell ref="M22:N22"/>
    <mergeCell ref="O22:P22"/>
    <mergeCell ref="B21:H21"/>
    <mergeCell ref="I21:J21"/>
    <mergeCell ref="K21:L21"/>
    <mergeCell ref="Q32:R32"/>
    <mergeCell ref="O26:P26"/>
    <mergeCell ref="O36:P36"/>
    <mergeCell ref="Q36:R36"/>
    <mergeCell ref="B34:H35"/>
    <mergeCell ref="I34:J34"/>
    <mergeCell ref="K34:L34"/>
    <mergeCell ref="M34:N34"/>
    <mergeCell ref="O34:P34"/>
    <mergeCell ref="Q34:R34"/>
    <mergeCell ref="B32:H33"/>
    <mergeCell ref="I32:J32"/>
    <mergeCell ref="K32:L32"/>
    <mergeCell ref="M32:N32"/>
    <mergeCell ref="O32:P32"/>
    <mergeCell ref="C51:E51"/>
    <mergeCell ref="B36:H37"/>
    <mergeCell ref="I36:J36"/>
    <mergeCell ref="K36:L36"/>
    <mergeCell ref="M36:N36"/>
    <mergeCell ref="B40:H40"/>
    <mergeCell ref="B41:H41"/>
    <mergeCell ref="B42:H42"/>
    <mergeCell ref="C47:E47"/>
    <mergeCell ref="C48:E48"/>
    <mergeCell ref="C54:E54"/>
    <mergeCell ref="C59:E59"/>
    <mergeCell ref="C64:E64"/>
    <mergeCell ref="C67:F67"/>
    <mergeCell ref="C70:E70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4A3E-6011-4612-A7C1-474D742A2319}">
  <sheetPr>
    <tabColor theme="0" tint="-4.9989318521683403E-2"/>
  </sheetPr>
  <dimension ref="A1:T72"/>
  <sheetViews>
    <sheetView topLeftCell="F3" zoomScale="60" zoomScaleNormal="60" workbookViewId="0">
      <pane ySplit="5" topLeftCell="A8" activePane="bottomLeft" state="frozen"/>
      <selection activeCell="G3" sqref="G3"/>
      <selection pane="bottomLeft" activeCell="M13" sqref="M13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93.62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8" width="25.625" style="5" customWidth="1"/>
    <col min="19" max="19" width="22.5" style="5" customWidth="1"/>
    <col min="20" max="20" width="25.625" style="5" customWidth="1"/>
    <col min="21" max="16384" width="11.5" style="5"/>
  </cols>
  <sheetData>
    <row r="1" spans="1:20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</row>
    <row r="2" spans="1:20" ht="20.25" customHeight="1" thickBot="1"/>
    <row r="3" spans="1:20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2"/>
      <c r="L3" s="22"/>
      <c r="M3" s="22"/>
      <c r="N3" s="22"/>
      <c r="O3" s="21" t="s">
        <v>5</v>
      </c>
      <c r="P3" s="23">
        <v>1</v>
      </c>
      <c r="Q3" s="24"/>
      <c r="R3" s="24"/>
      <c r="S3" s="24"/>
      <c r="T3" s="24"/>
    </row>
    <row r="4" spans="1:20" ht="63" customHeight="1">
      <c r="A4" s="25"/>
      <c r="B4" s="690" t="s">
        <v>6</v>
      </c>
      <c r="C4" s="690"/>
      <c r="D4" s="691" t="s">
        <v>101</v>
      </c>
      <c r="E4" s="691"/>
      <c r="F4" s="691"/>
      <c r="G4" s="691"/>
      <c r="H4" s="22"/>
      <c r="I4" s="26"/>
      <c r="J4" s="81"/>
      <c r="K4" s="81"/>
      <c r="L4" s="81"/>
      <c r="M4" s="81">
        <f>487.62/2.4</f>
        <v>203.17500000000001</v>
      </c>
      <c r="N4" s="81">
        <f>M9/60</f>
        <v>14.809200000000001</v>
      </c>
      <c r="O4" s="22"/>
      <c r="P4" s="22"/>
      <c r="Q4" s="82"/>
      <c r="R4" s="204"/>
      <c r="S4" s="204"/>
      <c r="T4" s="204"/>
    </row>
    <row r="5" spans="1:20" ht="18" customHeigh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</row>
    <row r="6" spans="1:20" ht="18" customHeight="1" thickBot="1">
      <c r="A6" s="6"/>
      <c r="B6" s="6"/>
      <c r="C6" s="6"/>
      <c r="D6" s="6"/>
      <c r="E6" s="6"/>
      <c r="F6" s="6"/>
      <c r="G6" s="6"/>
      <c r="H6" s="6"/>
      <c r="I6" s="693"/>
      <c r="J6" s="694"/>
      <c r="K6" s="694"/>
      <c r="L6" s="694"/>
      <c r="M6" s="694"/>
      <c r="N6" s="694"/>
      <c r="O6" s="694"/>
      <c r="P6" s="694"/>
      <c r="Q6" s="694"/>
      <c r="R6" s="694"/>
      <c r="S6" s="694"/>
      <c r="T6" s="694"/>
    </row>
    <row r="7" spans="1:20" ht="62.25" customHeight="1" thickBot="1">
      <c r="B7" s="695" t="s">
        <v>8</v>
      </c>
      <c r="C7" s="696"/>
      <c r="D7" s="696"/>
      <c r="E7" s="696"/>
      <c r="F7" s="696"/>
      <c r="G7" s="696"/>
      <c r="H7" s="696"/>
      <c r="I7" s="697" t="s">
        <v>66</v>
      </c>
      <c r="J7" s="698"/>
      <c r="K7" s="697" t="s">
        <v>65</v>
      </c>
      <c r="L7" s="766"/>
      <c r="M7" s="768" t="s">
        <v>165</v>
      </c>
      <c r="N7" s="769"/>
      <c r="O7" s="697" t="s">
        <v>102</v>
      </c>
      <c r="P7" s="698"/>
      <c r="Q7" s="766" t="s">
        <v>103</v>
      </c>
      <c r="R7" s="698"/>
      <c r="S7" s="697" t="s">
        <v>104</v>
      </c>
      <c r="T7" s="698"/>
    </row>
    <row r="8" spans="1:20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60" t="s">
        <v>15</v>
      </c>
      <c r="I8" s="18" t="s">
        <v>14</v>
      </c>
      <c r="J8" s="19" t="s">
        <v>15</v>
      </c>
      <c r="K8" s="205" t="s">
        <v>14</v>
      </c>
      <c r="L8" s="363" t="s">
        <v>15</v>
      </c>
      <c r="M8" s="205" t="s">
        <v>14</v>
      </c>
      <c r="N8" s="206" t="s">
        <v>15</v>
      </c>
      <c r="O8" s="18" t="s">
        <v>14</v>
      </c>
      <c r="P8" s="19" t="s">
        <v>15</v>
      </c>
      <c r="Q8" s="29" t="s">
        <v>14</v>
      </c>
      <c r="R8" s="19" t="s">
        <v>15</v>
      </c>
      <c r="S8" s="18" t="s">
        <v>14</v>
      </c>
      <c r="T8" s="19" t="s">
        <v>15</v>
      </c>
    </row>
    <row r="9" spans="1:20" ht="45.75" customHeight="1">
      <c r="A9" s="679"/>
      <c r="B9" s="83">
        <v>1</v>
      </c>
      <c r="C9" s="770" t="s">
        <v>105</v>
      </c>
      <c r="D9" s="771"/>
      <c r="E9" s="207" t="s">
        <v>106</v>
      </c>
      <c r="F9" s="207">
        <v>426.04</v>
      </c>
      <c r="G9" s="208">
        <v>1365</v>
      </c>
      <c r="H9" s="209">
        <f>G9*F9</f>
        <v>581544.6</v>
      </c>
      <c r="I9" s="210">
        <f>18.2*60.2*1.18</f>
        <v>1292.8552</v>
      </c>
      <c r="J9" s="211">
        <f>F9*I9</f>
        <v>550808.02940800006</v>
      </c>
      <c r="K9" s="366">
        <f>1100*1.18</f>
        <v>1298</v>
      </c>
      <c r="L9" s="364">
        <f>F9*K9</f>
        <v>552999.92000000004</v>
      </c>
      <c r="M9" s="367">
        <f>8.2*60.2*1.8</f>
        <v>888.55200000000002</v>
      </c>
      <c r="N9" s="217">
        <f>F9*M9</f>
        <v>378558.69408000004</v>
      </c>
      <c r="O9" s="368">
        <f>25.46*60.2*1.18</f>
        <v>1808.5765600000002</v>
      </c>
      <c r="P9" s="215">
        <f>F9*O9</f>
        <v>770525.95762240014</v>
      </c>
      <c r="Q9" s="369">
        <f>20.43*60.2*1.18</f>
        <v>1451.2654799999998</v>
      </c>
      <c r="R9" s="217">
        <f>F9*Q9</f>
        <v>618297.14509919996</v>
      </c>
      <c r="S9" s="367">
        <v>1458.8600000000001</v>
      </c>
      <c r="T9" s="217">
        <f>F9*S9</f>
        <v>621532.71440000006</v>
      </c>
    </row>
    <row r="10" spans="1:20" ht="48" customHeight="1">
      <c r="A10" s="679"/>
      <c r="B10" s="83">
        <v>2</v>
      </c>
      <c r="C10" s="770" t="s">
        <v>107</v>
      </c>
      <c r="D10" s="771"/>
      <c r="E10" s="207" t="s">
        <v>108</v>
      </c>
      <c r="F10" s="207">
        <v>380.53</v>
      </c>
      <c r="G10" s="208">
        <v>295</v>
      </c>
      <c r="H10" s="219">
        <f>G10*F10</f>
        <v>112256.34999999999</v>
      </c>
      <c r="I10" s="220">
        <f>3.6*60.2*1.18</f>
        <v>255.7296</v>
      </c>
      <c r="J10" s="221">
        <f>F10*I10</f>
        <v>97312.784688</v>
      </c>
      <c r="K10" s="220">
        <f>3.6*60.2*1.18</f>
        <v>255.7296</v>
      </c>
      <c r="L10" s="362">
        <f t="shared" ref="L10:L11" si="0">F10*K10</f>
        <v>97312.784688</v>
      </c>
      <c r="M10" s="367">
        <f>(5.4*60.2*1.8)/2.4</f>
        <v>243.81000000000006</v>
      </c>
      <c r="N10" s="217">
        <f>F10*M10</f>
        <v>92777.019300000014</v>
      </c>
      <c r="O10" s="368">
        <f>2*60.2*1.18</f>
        <v>142.072</v>
      </c>
      <c r="P10" s="215">
        <f t="shared" ref="P10:P11" si="1">F10*O10</f>
        <v>54062.658159999999</v>
      </c>
      <c r="Q10" s="370">
        <f>4.2*60.2*1.18</f>
        <v>298.35120000000001</v>
      </c>
      <c r="R10" s="217">
        <f t="shared" ref="R10:R11" si="2">F10*Q10</f>
        <v>113531.582136</v>
      </c>
      <c r="S10" s="367">
        <v>181.04</v>
      </c>
      <c r="T10" s="217">
        <f>F10*S10</f>
        <v>68891.151199999993</v>
      </c>
    </row>
    <row r="11" spans="1:20" ht="48" customHeight="1">
      <c r="A11" s="679"/>
      <c r="B11" s="83">
        <v>3</v>
      </c>
      <c r="C11" s="770" t="s">
        <v>109</v>
      </c>
      <c r="D11" s="771"/>
      <c r="E11" s="207" t="s">
        <v>108</v>
      </c>
      <c r="F11" s="207">
        <f>(1+0.8+0.8)*6</f>
        <v>15.600000000000001</v>
      </c>
      <c r="G11" s="208">
        <v>170.95</v>
      </c>
      <c r="H11" s="219">
        <f>G11*F11</f>
        <v>2666.82</v>
      </c>
      <c r="I11" s="223">
        <f>2.87*60.2*1.18</f>
        <v>203.87331999999998</v>
      </c>
      <c r="J11" s="221">
        <f>F11*I11</f>
        <v>3180.423792</v>
      </c>
      <c r="K11" s="223">
        <f>2.87*60.2*1.18</f>
        <v>203.87331999999998</v>
      </c>
      <c r="L11" s="362">
        <f t="shared" si="0"/>
        <v>3180.423792</v>
      </c>
      <c r="M11" s="367">
        <f>(3.7*60.2*1.8)/2.4</f>
        <v>167.05500000000001</v>
      </c>
      <c r="N11" s="217">
        <f>F11*M11</f>
        <v>2606.0580000000004</v>
      </c>
      <c r="O11" s="368">
        <f>3.77*60.2*1.18</f>
        <v>267.80572000000001</v>
      </c>
      <c r="P11" s="215">
        <f t="shared" si="1"/>
        <v>4177.7692320000006</v>
      </c>
      <c r="Q11" s="371">
        <f>2.53*60.2*1.18</f>
        <v>179.72107999999997</v>
      </c>
      <c r="R11" s="217">
        <f t="shared" si="2"/>
        <v>2803.6488479999998</v>
      </c>
      <c r="S11" s="367">
        <v>120.89999999999999</v>
      </c>
      <c r="T11" s="217">
        <f>F11*S11</f>
        <v>1886.04</v>
      </c>
    </row>
    <row r="12" spans="1:20" ht="48" customHeight="1">
      <c r="A12" s="679"/>
      <c r="B12" s="224"/>
      <c r="C12" s="684"/>
      <c r="D12" s="684"/>
      <c r="E12" s="225"/>
      <c r="F12" s="225"/>
      <c r="G12" s="226"/>
      <c r="H12" s="227"/>
      <c r="I12" s="90"/>
      <c r="J12" s="152"/>
      <c r="K12" s="173"/>
      <c r="L12" s="246"/>
      <c r="M12" s="90"/>
      <c r="N12" s="172"/>
      <c r="O12" s="90"/>
      <c r="P12" s="172"/>
      <c r="Q12" s="157"/>
      <c r="S12" s="17"/>
      <c r="T12" s="16"/>
    </row>
    <row r="13" spans="1:20" ht="48" customHeight="1">
      <c r="A13" s="679"/>
      <c r="B13" s="224"/>
      <c r="C13" s="684"/>
      <c r="D13" s="684"/>
      <c r="E13" s="225"/>
      <c r="F13" s="225"/>
      <c r="G13" s="226"/>
      <c r="H13" s="227"/>
      <c r="I13" s="90"/>
      <c r="J13" s="152"/>
      <c r="K13" s="173"/>
      <c r="L13" s="246"/>
      <c r="M13" s="90"/>
      <c r="N13" s="172"/>
      <c r="O13" s="90"/>
      <c r="P13" s="172"/>
      <c r="Q13" s="157"/>
      <c r="R13" s="16"/>
      <c r="S13" s="17"/>
      <c r="T13" s="16"/>
    </row>
    <row r="14" spans="1:20" ht="48" customHeight="1" thickBot="1">
      <c r="A14" s="679"/>
      <c r="B14" s="228"/>
      <c r="C14" s="767"/>
      <c r="D14" s="767"/>
      <c r="E14" s="229"/>
      <c r="F14" s="229"/>
      <c r="G14" s="230"/>
      <c r="H14" s="231"/>
      <c r="I14" s="232"/>
      <c r="J14" s="233"/>
      <c r="K14" s="177"/>
      <c r="L14" s="365"/>
      <c r="M14" s="372"/>
      <c r="N14" s="373"/>
      <c r="O14" s="232"/>
      <c r="P14" s="312"/>
      <c r="Q14" s="157"/>
      <c r="R14" s="16"/>
      <c r="S14" s="17"/>
      <c r="T14" s="234"/>
    </row>
    <row r="15" spans="1:20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235">
        <f>SUM(H9:H14)</f>
        <v>696467.7699999999</v>
      </c>
      <c r="I15" s="236"/>
      <c r="J15" s="237">
        <f>SUM(J9:J14)</f>
        <v>651301.23788800009</v>
      </c>
      <c r="K15" s="237"/>
      <c r="L15" s="237">
        <f>SUM(L9:L14)</f>
        <v>653493.12848000007</v>
      </c>
      <c r="M15" s="375"/>
      <c r="N15" s="376">
        <f>SUM(N9:N14)</f>
        <v>473941.77138000011</v>
      </c>
      <c r="O15" s="94"/>
      <c r="P15" s="317">
        <f>SUM(P9:P14)</f>
        <v>828766.38501440012</v>
      </c>
      <c r="Q15" s="95"/>
      <c r="R15" s="96">
        <f>SUM(R9:R14)</f>
        <v>734632.37608319998</v>
      </c>
      <c r="S15" s="92"/>
      <c r="T15" s="93">
        <f>SUM(T9:T13)</f>
        <v>692309.90560000006</v>
      </c>
    </row>
    <row r="16" spans="1:20" ht="25.5" customHeight="1" thickBot="1">
      <c r="A16" s="665"/>
      <c r="B16" s="669" t="s">
        <v>49</v>
      </c>
      <c r="C16" s="670"/>
      <c r="D16" s="670"/>
      <c r="E16" s="670"/>
      <c r="F16" s="670"/>
      <c r="G16" s="670"/>
      <c r="H16" s="239"/>
      <c r="I16" s="671">
        <f>I15*0.18</f>
        <v>0</v>
      </c>
      <c r="J16" s="672"/>
      <c r="K16" s="89"/>
      <c r="L16" s="89">
        <v>0</v>
      </c>
      <c r="M16" s="377"/>
      <c r="N16" s="378"/>
      <c r="O16" s="772">
        <f>0.18*O15</f>
        <v>0</v>
      </c>
      <c r="P16" s="672"/>
      <c r="Q16" s="77">
        <v>0</v>
      </c>
      <c r="R16" s="89"/>
      <c r="S16" s="671"/>
      <c r="T16" s="672"/>
    </row>
    <row r="17" spans="1:20" ht="22.5" customHeigh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240">
        <f>H15+H16</f>
        <v>696467.7699999999</v>
      </c>
      <c r="I17" s="353">
        <f>J15</f>
        <v>651301.23788800009</v>
      </c>
      <c r="J17" s="354"/>
      <c r="K17" s="241"/>
      <c r="L17" s="242">
        <f>L15</f>
        <v>653493.12848000007</v>
      </c>
      <c r="M17" s="374"/>
      <c r="N17" s="374">
        <f>N15</f>
        <v>473941.77138000011</v>
      </c>
      <c r="O17" s="677">
        <f>P15</f>
        <v>828766.38501440012</v>
      </c>
      <c r="P17" s="678"/>
      <c r="Q17" s="78"/>
      <c r="R17" s="78">
        <f>R15+R16</f>
        <v>734632.37608319998</v>
      </c>
      <c r="S17" s="741">
        <f>T15</f>
        <v>692309.90560000006</v>
      </c>
      <c r="T17" s="742"/>
    </row>
    <row r="18" spans="1:20" ht="27" customHeight="1">
      <c r="A18" s="665"/>
      <c r="B18" s="647" t="s">
        <v>20</v>
      </c>
      <c r="C18" s="648"/>
      <c r="D18" s="648"/>
      <c r="E18" s="648"/>
      <c r="F18" s="648"/>
      <c r="G18" s="648"/>
      <c r="H18" s="649"/>
      <c r="I18" s="644"/>
      <c r="J18" s="645"/>
      <c r="K18" s="161"/>
      <c r="L18" s="284">
        <v>5</v>
      </c>
      <c r="M18" s="148"/>
      <c r="N18" s="148"/>
      <c r="O18" s="773"/>
      <c r="P18" s="773"/>
      <c r="Q18" s="751"/>
      <c r="R18" s="635"/>
      <c r="S18" s="743"/>
      <c r="T18" s="744"/>
    </row>
    <row r="19" spans="1:20" ht="23.25" customHeight="1">
      <c r="A19" s="665"/>
      <c r="B19" s="647"/>
      <c r="C19" s="648"/>
      <c r="D19" s="648"/>
      <c r="E19" s="648"/>
      <c r="F19" s="648"/>
      <c r="G19" s="648"/>
      <c r="H19" s="649"/>
      <c r="I19" s="51" t="s">
        <v>21</v>
      </c>
      <c r="J19" s="148">
        <v>3</v>
      </c>
      <c r="K19" s="49" t="s">
        <v>21</v>
      </c>
      <c r="L19" s="5">
        <v>2</v>
      </c>
      <c r="M19" s="379" t="s">
        <v>21</v>
      </c>
      <c r="N19" s="379">
        <v>1</v>
      </c>
      <c r="O19" s="380" t="s">
        <v>21</v>
      </c>
      <c r="P19" s="148">
        <v>6</v>
      </c>
      <c r="Q19" s="149" t="s">
        <v>21</v>
      </c>
      <c r="R19" s="148">
        <v>5</v>
      </c>
      <c r="S19" s="147" t="s">
        <v>21</v>
      </c>
      <c r="T19" s="243">
        <v>4</v>
      </c>
    </row>
    <row r="20" spans="1:20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649"/>
      <c r="I20" s="102" t="s">
        <v>23</v>
      </c>
      <c r="J20" s="103">
        <f>IF(OR($H$17=0,I17=0),"-",I17-$H$17)</f>
        <v>-45166.532111999812</v>
      </c>
      <c r="K20" s="102" t="s">
        <v>23</v>
      </c>
      <c r="L20" s="103">
        <f>IF(OR($H$17=0,L17=0),"-",L17-$H$17)</f>
        <v>-42974.64151999983</v>
      </c>
      <c r="M20" s="183" t="s">
        <v>23</v>
      </c>
      <c r="N20" s="183">
        <f>IF(OR($H$17=0,N17=0),"-",N17-$H$17)</f>
        <v>-222525.99861999979</v>
      </c>
      <c r="O20" s="102" t="s">
        <v>23</v>
      </c>
      <c r="P20" s="103">
        <f>IF(OR($H$17=0,O17=0),"-",O17-$H$17)</f>
        <v>132298.61501440022</v>
      </c>
      <c r="Q20" s="102" t="s">
        <v>23</v>
      </c>
      <c r="R20" s="103">
        <f>IF(OR($H$17=0,R17=0),"-",R17-$H$17)</f>
        <v>38164.60608320008</v>
      </c>
      <c r="S20" s="102" t="s">
        <v>23</v>
      </c>
      <c r="T20" s="103">
        <f>S17-H17</f>
        <v>-4157.8643999998458</v>
      </c>
    </row>
    <row r="21" spans="1:20" ht="36" customHeight="1" thickBot="1">
      <c r="A21" s="7"/>
      <c r="B21" s="650" t="s">
        <v>51</v>
      </c>
      <c r="C21" s="651"/>
      <c r="D21" s="651"/>
      <c r="E21" s="651"/>
      <c r="F21" s="651"/>
      <c r="G21" s="651"/>
      <c r="H21" s="652"/>
      <c r="I21" s="774">
        <f>J20*77</f>
        <v>-3477822.9726239853</v>
      </c>
      <c r="J21" s="775"/>
      <c r="K21" s="776">
        <f>L20*77</f>
        <v>-3309047.3970399871</v>
      </c>
      <c r="L21" s="777"/>
      <c r="M21" s="776">
        <f>N20*77</f>
        <v>-17134501.893739983</v>
      </c>
      <c r="N21" s="777"/>
      <c r="O21" s="776">
        <f>P20*77</f>
        <v>10186993.356108816</v>
      </c>
      <c r="P21" s="777"/>
      <c r="Q21" s="776">
        <f>R20*77</f>
        <v>2938674.6684064064</v>
      </c>
      <c r="R21" s="777"/>
      <c r="S21" s="657">
        <f>T20*77</f>
        <v>-320155.55879998812</v>
      </c>
      <c r="T21" s="658"/>
    </row>
    <row r="22" spans="1:20" ht="24.95" customHeight="1">
      <c r="A22" s="7"/>
      <c r="B22" s="621" t="s">
        <v>20</v>
      </c>
      <c r="C22" s="622"/>
      <c r="D22" s="622"/>
      <c r="E22" s="622"/>
      <c r="F22" s="622"/>
      <c r="G22" s="622"/>
      <c r="H22" s="623"/>
      <c r="I22" s="778" t="str">
        <f>IF(OR($H$17=0,I17=0),"",IF(I17&lt;=$H$17,$C$49,$C$50))</f>
        <v>Precio menor o igual al presupuesto</v>
      </c>
      <c r="J22" s="779"/>
      <c r="K22" s="780" t="str">
        <f>IF(OR($H$17=0,L17=0),"",IF(L17&lt;=$H$17,$C$49,$C$50))</f>
        <v>Precio menor o igual al presupuesto</v>
      </c>
      <c r="L22" s="781"/>
      <c r="M22" s="783" t="str">
        <f>IF(OR($H$17=0,N17=0),"",IF(N17&lt;=$H$17,$C$49,$C$50))</f>
        <v>Precio menor o igual al presupuesto</v>
      </c>
      <c r="N22" s="784"/>
      <c r="O22" s="782" t="str">
        <f>IF(OR($H$17=0,O17=0),"",IF(O17&lt;=$H$17,$C$49,$C$50))</f>
        <v>Precio mayor al presupuesto</v>
      </c>
      <c r="P22" s="779"/>
      <c r="Q22" s="782" t="str">
        <f>IF(OR($H$17=0,R17=0),"",IF(R17&lt;=$H$17,$C$49,$C$50))</f>
        <v>Precio mayor al presupuesto</v>
      </c>
      <c r="R22" s="779"/>
      <c r="S22" s="663" t="str">
        <f t="shared" ref="S22" si="3">IF(OR($H$17=0,S17=0),"",IF(S17&lt;=$H$17,$C$49,$C$50))</f>
        <v>Precio menor o igual al presupuesto</v>
      </c>
      <c r="T22" s="660"/>
    </row>
    <row r="23" spans="1:20" ht="24.95" customHeight="1">
      <c r="A23" s="7"/>
      <c r="B23" s="621"/>
      <c r="C23" s="622"/>
      <c r="D23" s="622"/>
      <c r="E23" s="622"/>
      <c r="F23" s="622"/>
      <c r="G23" s="622"/>
      <c r="H23" s="623"/>
      <c r="I23" s="244" t="s">
        <v>21</v>
      </c>
      <c r="J23" s="109">
        <f>F49</f>
        <v>2</v>
      </c>
      <c r="K23" s="245" t="s">
        <v>21</v>
      </c>
      <c r="L23" s="245">
        <v>2</v>
      </c>
      <c r="M23" s="539" t="s">
        <v>21</v>
      </c>
      <c r="N23" s="109">
        <v>2</v>
      </c>
      <c r="O23" s="108" t="s">
        <v>21</v>
      </c>
      <c r="P23" s="109">
        <f>IF(O22=$C$49,$F$49,0)</f>
        <v>0</v>
      </c>
      <c r="Q23" s="108" t="s">
        <v>21</v>
      </c>
      <c r="R23" s="109">
        <f>IF(Q22=$C$49,$F$49,0)</f>
        <v>0</v>
      </c>
      <c r="S23" s="108" t="s">
        <v>21</v>
      </c>
      <c r="T23" s="109">
        <f>IF(S22=$C$49,$F$49,0)</f>
        <v>2</v>
      </c>
    </row>
    <row r="24" spans="1:20" ht="24.95" customHeight="1">
      <c r="A24" s="7"/>
      <c r="B24" s="621" t="s">
        <v>22</v>
      </c>
      <c r="C24" s="622"/>
      <c r="D24" s="622"/>
      <c r="E24" s="622"/>
      <c r="F24" s="622"/>
      <c r="G24" s="622"/>
      <c r="H24" s="623"/>
      <c r="I24" s="244" t="s">
        <v>23</v>
      </c>
      <c r="J24" s="101">
        <f>IF(OR($H$17=0,I17=0),"-",I17-$H$17)</f>
        <v>-45166.532111999812</v>
      </c>
      <c r="K24" s="246" t="s">
        <v>23</v>
      </c>
      <c r="L24" s="246">
        <f>IF(OR($H$17=0,L17=0),"-",L17-$H$17)</f>
        <v>-42974.64151999983</v>
      </c>
      <c r="M24" s="173" t="s">
        <v>23</v>
      </c>
      <c r="N24" s="101">
        <f>IF(OR($H$17=0,N17=0),"-",N17-$H$17)</f>
        <v>-222525.99861999979</v>
      </c>
      <c r="O24" s="108" t="s">
        <v>23</v>
      </c>
      <c r="P24" s="101">
        <f>IF(OR($H$17=0,O17=0),"-",O17-$H$17)</f>
        <v>132298.61501440022</v>
      </c>
      <c r="Q24" s="108" t="s">
        <v>23</v>
      </c>
      <c r="R24" s="101">
        <f>IF(OR($H$17=0,R17=0),"-",R17-$H$17)</f>
        <v>38164.60608320008</v>
      </c>
      <c r="S24" s="108" t="s">
        <v>23</v>
      </c>
      <c r="T24" s="101">
        <f>IF(OR($H$17=0,S17=0),"-",S17-$H$17)</f>
        <v>-4157.8643999998458</v>
      </c>
    </row>
    <row r="25" spans="1:20" ht="34.5" customHeight="1">
      <c r="A25" s="7"/>
      <c r="B25" s="621"/>
      <c r="C25" s="622"/>
      <c r="D25" s="622"/>
      <c r="E25" s="622"/>
      <c r="F25" s="622"/>
      <c r="G25" s="622"/>
      <c r="H25" s="623"/>
      <c r="I25" s="111" t="s">
        <v>21</v>
      </c>
      <c r="J25" s="50">
        <v>0</v>
      </c>
      <c r="K25" s="247" t="s">
        <v>21</v>
      </c>
      <c r="L25" s="247">
        <f>IF(AND(L24&lt;R24,L24&lt;T24,L24&lt;J24,L24&lt;P24),2,0)</f>
        <v>0</v>
      </c>
      <c r="M25" s="508" t="s">
        <v>21</v>
      </c>
      <c r="N25" s="50">
        <f>IF(AND(N24&lt;T24,N24&lt;V24,N24&lt;L24,N24&lt;R24),2,0)</f>
        <v>2</v>
      </c>
      <c r="O25" s="537" t="s">
        <v>21</v>
      </c>
      <c r="P25" s="50">
        <f>IF(AND(P24&lt;T24,P24&lt;J24,P24&lt;L24,P24&lt;R24),2,0)</f>
        <v>0</v>
      </c>
      <c r="Q25" s="105" t="s">
        <v>21</v>
      </c>
      <c r="R25" s="50">
        <f>IF(AND(R24&lt;T24,R24&lt;P24,R24&lt;J24,R24&lt;L24),2,0)</f>
        <v>0</v>
      </c>
      <c r="S25" s="105" t="s">
        <v>21</v>
      </c>
      <c r="T25" s="50">
        <f>IF(AND(T24&lt;J24,T24&lt;R24,T24&lt;P24,T24&lt;L24),2,0)</f>
        <v>0</v>
      </c>
    </row>
    <row r="26" spans="1:20" ht="34.5" customHeight="1">
      <c r="A26" s="7"/>
      <c r="B26" s="628" t="s">
        <v>53</v>
      </c>
      <c r="C26" s="629"/>
      <c r="D26" s="629"/>
      <c r="E26" s="629"/>
      <c r="F26" s="629"/>
      <c r="G26" s="629"/>
      <c r="H26" s="629"/>
      <c r="I26" s="642" t="str">
        <f>C56</f>
        <v>Por valuación de obra ejecutada con anticipo</v>
      </c>
      <c r="J26" s="643"/>
      <c r="K26" s="642" t="str">
        <f>C56</f>
        <v>Por valuación de obra ejecutada con anticipo</v>
      </c>
      <c r="L26" s="757"/>
      <c r="M26" s="111">
        <f>E56</f>
        <v>0</v>
      </c>
      <c r="N26" s="507"/>
      <c r="O26" s="757" t="str">
        <f>C56</f>
        <v>Por valuación de obra ejecutada con anticipo</v>
      </c>
      <c r="P26" s="643"/>
      <c r="Q26" s="642" t="str">
        <f>C56</f>
        <v>Por valuación de obra ejecutada con anticipo</v>
      </c>
      <c r="R26" s="643"/>
      <c r="S26" s="642" t="str">
        <f>C56</f>
        <v>Por valuación de obra ejecutada con anticipo</v>
      </c>
      <c r="T26" s="643"/>
    </row>
    <row r="27" spans="1:20" ht="24.95" customHeight="1">
      <c r="B27" s="638"/>
      <c r="C27" s="639"/>
      <c r="D27" s="639"/>
      <c r="E27" s="639"/>
      <c r="F27" s="639"/>
      <c r="G27" s="639"/>
      <c r="H27" s="639"/>
      <c r="I27" s="113" t="s">
        <v>21</v>
      </c>
      <c r="J27" s="114">
        <v>2</v>
      </c>
      <c r="K27" s="113" t="s">
        <v>21</v>
      </c>
      <c r="L27" s="287">
        <v>2</v>
      </c>
      <c r="M27" s="113" t="s">
        <v>21</v>
      </c>
      <c r="N27" s="114">
        <v>2</v>
      </c>
      <c r="O27" s="287" t="s">
        <v>21</v>
      </c>
      <c r="P27" s="114">
        <v>2</v>
      </c>
      <c r="Q27" s="113" t="s">
        <v>21</v>
      </c>
      <c r="R27" s="114">
        <v>2</v>
      </c>
      <c r="S27" s="113" t="s">
        <v>21</v>
      </c>
      <c r="T27" s="114">
        <v>2</v>
      </c>
    </row>
    <row r="28" spans="1:20" ht="24.95" customHeight="1">
      <c r="B28" s="638"/>
      <c r="C28" s="639"/>
      <c r="D28" s="639"/>
      <c r="E28" s="639"/>
      <c r="F28" s="639"/>
      <c r="G28" s="639"/>
      <c r="H28" s="639"/>
      <c r="I28" s="248" t="s">
        <v>110</v>
      </c>
      <c r="J28" s="249"/>
      <c r="K28" s="248" t="s">
        <v>110</v>
      </c>
      <c r="L28" s="251"/>
      <c r="M28" s="538" t="s">
        <v>110</v>
      </c>
      <c r="N28" s="249"/>
      <c r="O28" s="538" t="s">
        <v>110</v>
      </c>
      <c r="P28" s="250"/>
      <c r="Q28" s="248" t="s">
        <v>110</v>
      </c>
      <c r="R28" s="114"/>
      <c r="S28" s="248" t="s">
        <v>110</v>
      </c>
      <c r="T28" s="114"/>
    </row>
    <row r="29" spans="1:20" ht="24.95" customHeight="1">
      <c r="B29" s="638"/>
      <c r="C29" s="639"/>
      <c r="D29" s="639"/>
      <c r="E29" s="639"/>
      <c r="F29" s="639"/>
      <c r="G29" s="639"/>
      <c r="H29" s="639"/>
      <c r="I29" s="248" t="s">
        <v>111</v>
      </c>
      <c r="J29" s="249"/>
      <c r="K29" s="248" t="s">
        <v>111</v>
      </c>
      <c r="L29" s="251"/>
      <c r="M29" s="538" t="s">
        <v>111</v>
      </c>
      <c r="N29" s="249"/>
      <c r="O29" s="538" t="s">
        <v>111</v>
      </c>
      <c r="P29" s="250"/>
      <c r="Q29" s="248" t="s">
        <v>111</v>
      </c>
      <c r="R29" s="114"/>
      <c r="S29" s="248" t="s">
        <v>111</v>
      </c>
      <c r="T29" s="114"/>
    </row>
    <row r="30" spans="1:20" ht="24.95" customHeight="1">
      <c r="B30" s="638"/>
      <c r="C30" s="639"/>
      <c r="D30" s="639"/>
      <c r="E30" s="639"/>
      <c r="F30" s="639"/>
      <c r="G30" s="639"/>
      <c r="H30" s="639"/>
      <c r="I30" s="248" t="s">
        <v>112</v>
      </c>
      <c r="J30" s="249"/>
      <c r="K30" s="248" t="s">
        <v>112</v>
      </c>
      <c r="L30" s="251"/>
      <c r="M30" s="538" t="s">
        <v>112</v>
      </c>
      <c r="N30" s="249"/>
      <c r="O30" s="538" t="s">
        <v>112</v>
      </c>
      <c r="P30" s="250"/>
      <c r="Q30" s="248" t="s">
        <v>112</v>
      </c>
      <c r="R30" s="114"/>
      <c r="S30" s="248" t="s">
        <v>112</v>
      </c>
      <c r="T30" s="114"/>
    </row>
    <row r="31" spans="1:20" ht="24.95" customHeight="1">
      <c r="B31" s="640"/>
      <c r="C31" s="641"/>
      <c r="D31" s="641"/>
      <c r="E31" s="641"/>
      <c r="F31" s="641"/>
      <c r="G31" s="641"/>
      <c r="H31" s="641"/>
      <c r="I31" s="248" t="s">
        <v>113</v>
      </c>
      <c r="J31" s="249"/>
      <c r="K31" s="248" t="s">
        <v>113</v>
      </c>
      <c r="L31" s="251"/>
      <c r="M31" s="538" t="s">
        <v>113</v>
      </c>
      <c r="N31" s="249"/>
      <c r="O31" s="538" t="s">
        <v>113</v>
      </c>
      <c r="P31" s="250"/>
      <c r="Q31" s="248" t="s">
        <v>113</v>
      </c>
      <c r="R31" s="114"/>
      <c r="S31" s="248" t="s">
        <v>113</v>
      </c>
      <c r="T31" s="114"/>
    </row>
    <row r="32" spans="1:20" ht="24.95" customHeight="1">
      <c r="B32" s="621" t="s">
        <v>54</v>
      </c>
      <c r="C32" s="622"/>
      <c r="D32" s="622"/>
      <c r="E32" s="622"/>
      <c r="F32" s="622"/>
      <c r="G32" s="622"/>
      <c r="H32" s="623"/>
      <c r="I32" s="624" t="str">
        <f>C63</f>
        <v>A los 60 días</v>
      </c>
      <c r="J32" s="625"/>
      <c r="K32" s="624" t="str">
        <f>C63</f>
        <v>A los 60 días</v>
      </c>
      <c r="L32" s="752"/>
      <c r="M32" s="624" t="str">
        <f>C62</f>
        <v>A los 30 días</v>
      </c>
      <c r="N32" s="625"/>
      <c r="O32" s="752" t="str">
        <f>C63</f>
        <v>A los 60 días</v>
      </c>
      <c r="P32" s="625"/>
      <c r="Q32" s="624" t="str">
        <f>C63</f>
        <v>A los 60 días</v>
      </c>
      <c r="R32" s="625"/>
      <c r="S32" s="624" t="str">
        <f>C63</f>
        <v>A los 60 días</v>
      </c>
      <c r="T32" s="625"/>
    </row>
    <row r="33" spans="2:20" ht="47.25" customHeight="1">
      <c r="B33" s="621"/>
      <c r="C33" s="622"/>
      <c r="D33" s="622"/>
      <c r="E33" s="622"/>
      <c r="F33" s="622"/>
      <c r="G33" s="622"/>
      <c r="H33" s="623"/>
      <c r="I33" s="252" t="s">
        <v>21</v>
      </c>
      <c r="J33" s="112">
        <f>IF(I32=$C$60,$F$60,IF(I32=$C$61,$F$61,IF(I32=$C$62,$F$62,IF(I32=$C$63,F63,0))))</f>
        <v>0</v>
      </c>
      <c r="K33" s="106" t="s">
        <v>21</v>
      </c>
      <c r="L33" s="247">
        <f>IF(K32=$C$60,$F$60,IF(K32=$C$61,$F$61,IF(K32=$C$62,$F$62,IF(K32=$C$63,H63,0))))</f>
        <v>0</v>
      </c>
      <c r="M33" s="508" t="s">
        <v>21</v>
      </c>
      <c r="N33" s="50">
        <f>IF(M32=$C$60,$F$60,IF(M32=$C$61,$F$61,IF(M32=$C$62,$F$62,IF(M32=$C$63,J63,0))))</f>
        <v>1</v>
      </c>
      <c r="O33" s="115" t="s">
        <v>21</v>
      </c>
      <c r="P33" s="116">
        <f t="shared" ref="P33" si="4">IF(O32=$C$60,$F$60,IF(O32=$C$61,$F$61,IF(O32=$C$62,$F$62,0)))</f>
        <v>0</v>
      </c>
      <c r="Q33" s="115" t="s">
        <v>21</v>
      </c>
      <c r="R33" s="116">
        <f t="shared" ref="R33" si="5">IF(Q32=$C$60,$F$60,IF(Q32=$C$61,$F$61,IF(Q32=$C$62,$F$62,0)))</f>
        <v>0</v>
      </c>
      <c r="S33" s="115" t="s">
        <v>21</v>
      </c>
      <c r="T33" s="117">
        <f t="shared" ref="T33" si="6">IF(S32=$C$60,$F$60,IF(S32=$C$61,$F$61,IF(S32=$C$62,$F$62,0)))</f>
        <v>0</v>
      </c>
    </row>
    <row r="34" spans="2:20" ht="33.75" customHeight="1">
      <c r="B34" s="621" t="s">
        <v>56</v>
      </c>
      <c r="C34" s="622"/>
      <c r="D34" s="622"/>
      <c r="E34" s="622"/>
      <c r="F34" s="622"/>
      <c r="G34" s="622"/>
      <c r="H34" s="623"/>
      <c r="I34" s="626" t="s">
        <v>45</v>
      </c>
      <c r="J34" s="627"/>
      <c r="K34" s="626" t="s">
        <v>45</v>
      </c>
      <c r="L34" s="753"/>
      <c r="M34" s="509" t="s">
        <v>45</v>
      </c>
      <c r="N34" s="510"/>
      <c r="O34" s="753" t="s">
        <v>45</v>
      </c>
      <c r="P34" s="627"/>
      <c r="Q34" s="626" t="s">
        <v>45</v>
      </c>
      <c r="R34" s="627"/>
      <c r="S34" s="626" t="s">
        <v>45</v>
      </c>
      <c r="T34" s="627"/>
    </row>
    <row r="35" spans="2:20" ht="30" customHeight="1">
      <c r="B35" s="621"/>
      <c r="C35" s="622"/>
      <c r="D35" s="622"/>
      <c r="E35" s="622"/>
      <c r="F35" s="622"/>
      <c r="G35" s="622"/>
      <c r="H35" s="623"/>
      <c r="I35" s="51" t="s">
        <v>21</v>
      </c>
      <c r="J35" s="118">
        <f>IF(I34=$C$65,$F$65,0)</f>
        <v>2</v>
      </c>
      <c r="K35" s="253" t="s">
        <v>21</v>
      </c>
      <c r="L35" s="253">
        <f>IF(K34=$C$65,$F$65,0)</f>
        <v>2</v>
      </c>
      <c r="M35" s="540" t="s">
        <v>21</v>
      </c>
      <c r="N35" s="118">
        <f>IF(M34=$C$65,$F$65,0)</f>
        <v>2</v>
      </c>
      <c r="O35" s="49" t="s">
        <v>21</v>
      </c>
      <c r="P35" s="118">
        <f t="shared" ref="P35" si="7">IF(O34=$C$65,$F$65,0)</f>
        <v>2</v>
      </c>
      <c r="Q35" s="51" t="s">
        <v>21</v>
      </c>
      <c r="R35" s="118">
        <f t="shared" ref="R35" si="8">IF(Q34=$C$65,$F$65,0)</f>
        <v>2</v>
      </c>
      <c r="S35" s="51" t="s">
        <v>21</v>
      </c>
      <c r="T35" s="118">
        <f t="shared" ref="T35" si="9">IF(S34=$C$65,$F$65,0)</f>
        <v>2</v>
      </c>
    </row>
    <row r="36" spans="2:20" ht="30" customHeight="1">
      <c r="B36" s="628" t="s">
        <v>57</v>
      </c>
      <c r="C36" s="629"/>
      <c r="D36" s="629"/>
      <c r="E36" s="629"/>
      <c r="F36" s="629"/>
      <c r="G36" s="629"/>
      <c r="H36" s="629"/>
      <c r="I36" s="634" t="str">
        <f>C68</f>
        <v>Excelente</v>
      </c>
      <c r="J36" s="635"/>
      <c r="K36" s="634" t="str">
        <f>C68</f>
        <v>Excelente</v>
      </c>
      <c r="L36" s="751"/>
      <c r="M36" s="634" t="str">
        <f>C68</f>
        <v>Excelente</v>
      </c>
      <c r="N36" s="635"/>
      <c r="O36" s="751" t="str">
        <f>C68</f>
        <v>Excelente</v>
      </c>
      <c r="P36" s="635"/>
      <c r="Q36" s="634" t="str">
        <f>C68</f>
        <v>Excelente</v>
      </c>
      <c r="R36" s="635"/>
      <c r="S36" s="634" t="str">
        <f>C69</f>
        <v>Medio</v>
      </c>
      <c r="T36" s="635"/>
    </row>
    <row r="37" spans="2:20" ht="24.95" customHeight="1" thickBot="1">
      <c r="B37" s="630"/>
      <c r="C37" s="631"/>
      <c r="D37" s="631"/>
      <c r="E37" s="631"/>
      <c r="F37" s="631"/>
      <c r="G37" s="631"/>
      <c r="H37" s="631"/>
      <c r="I37" s="254" t="s">
        <v>21</v>
      </c>
      <c r="J37" s="123">
        <f>IF(I36=$C$68,$F$68,IF(I36=$C$69,$F$69,0))</f>
        <v>2</v>
      </c>
      <c r="K37" s="255" t="s">
        <v>21</v>
      </c>
      <c r="L37" s="255">
        <f>IF(K36=$C$68,$F$68,IF(K36=$C$69,$F$69,0))</f>
        <v>2</v>
      </c>
      <c r="M37" s="541" t="s">
        <v>21</v>
      </c>
      <c r="N37" s="542">
        <f>IF(M36=$C$68,$F$68,IF(M36=$C$69,$F$69,0))</f>
        <v>2</v>
      </c>
      <c r="O37" s="124" t="s">
        <v>21</v>
      </c>
      <c r="P37" s="123">
        <f>IF(O36=$C$68,$F$68,IF(O36=$C$69,$F$69,0))</f>
        <v>2</v>
      </c>
      <c r="Q37" s="124" t="s">
        <v>21</v>
      </c>
      <c r="R37" s="125">
        <f>IF(Q36=$C$68,$F$68,IF(Q36=$C$69,$F$69,0))</f>
        <v>2</v>
      </c>
      <c r="S37" s="124" t="s">
        <v>21</v>
      </c>
      <c r="T37" s="126">
        <f>IF(S36=$C$68,$F$68,IF(S36=$C$69,$F$69,0))</f>
        <v>0</v>
      </c>
    </row>
    <row r="38" spans="2:20" ht="24.95" customHeight="1" thickBot="1">
      <c r="B38" s="119"/>
      <c r="C38" s="120"/>
      <c r="D38" s="120"/>
      <c r="E38" s="120"/>
      <c r="F38" s="120"/>
      <c r="G38" s="120"/>
      <c r="H38" s="120"/>
      <c r="I38" s="256"/>
      <c r="J38" s="134"/>
      <c r="K38" s="257"/>
      <c r="L38" s="257"/>
      <c r="M38" s="543"/>
      <c r="N38" s="134"/>
      <c r="O38" s="135"/>
      <c r="P38" s="134"/>
      <c r="Q38" s="135"/>
      <c r="R38" s="136"/>
      <c r="S38" s="135"/>
      <c r="T38" s="137"/>
    </row>
    <row r="39" spans="2:20" ht="24.95" customHeight="1" thickBot="1">
      <c r="B39" s="119"/>
      <c r="C39" s="120"/>
      <c r="D39" s="120"/>
      <c r="E39" s="120"/>
      <c r="F39" s="120"/>
      <c r="G39" s="120"/>
      <c r="H39" s="120"/>
      <c r="I39" s="256"/>
      <c r="J39" s="134"/>
      <c r="K39" s="257"/>
      <c r="L39" s="257"/>
      <c r="M39" s="544"/>
      <c r="N39" s="527"/>
      <c r="O39" s="135"/>
      <c r="P39" s="134"/>
      <c r="Q39" s="135"/>
      <c r="R39" s="136"/>
      <c r="S39" s="135"/>
      <c r="T39" s="137"/>
    </row>
    <row r="40" spans="2:20" ht="24.95" customHeight="1" thickBot="1">
      <c r="B40" s="636" t="s">
        <v>62</v>
      </c>
      <c r="C40" s="637"/>
      <c r="D40" s="637"/>
      <c r="E40" s="637"/>
      <c r="F40" s="637"/>
      <c r="G40" s="637"/>
      <c r="H40" s="637"/>
      <c r="I40" s="127"/>
      <c r="J40" s="131">
        <f>J23+J25+J27+J33+J35+J37</f>
        <v>8</v>
      </c>
      <c r="K40" s="128"/>
      <c r="L40" s="128">
        <f>L23+L25+L27+L33+L35+L37</f>
        <v>8</v>
      </c>
      <c r="M40" s="128"/>
      <c r="N40" s="128">
        <f>N23+N25+N27+N33+N35+N37</f>
        <v>11</v>
      </c>
      <c r="O40" s="129"/>
      <c r="P40" s="132">
        <f>P23+P25+P27+P33+P35+P37</f>
        <v>6</v>
      </c>
      <c r="Q40" s="130"/>
      <c r="R40" s="142">
        <f>R23+R25+R27+R33+R35+R37</f>
        <v>6</v>
      </c>
      <c r="S40" s="27"/>
      <c r="T40" s="142">
        <f>T23+T25+T27+T33+T35+T37</f>
        <v>6</v>
      </c>
    </row>
    <row r="41" spans="2:20" ht="24.95" customHeight="1" thickBot="1">
      <c r="B41" s="620" t="s">
        <v>61</v>
      </c>
      <c r="C41" s="620"/>
      <c r="D41" s="620"/>
      <c r="E41" s="620"/>
      <c r="F41" s="620"/>
      <c r="G41" s="620"/>
      <c r="H41" s="620"/>
      <c r="I41" s="131"/>
      <c r="J41" s="128">
        <v>10</v>
      </c>
      <c r="K41" s="128"/>
      <c r="L41" s="128">
        <v>10</v>
      </c>
      <c r="M41" s="128"/>
      <c r="N41" s="128">
        <v>10</v>
      </c>
      <c r="O41" s="131"/>
      <c r="P41" s="128">
        <v>10</v>
      </c>
      <c r="Q41" s="138"/>
      <c r="R41" s="140">
        <v>10</v>
      </c>
      <c r="S41" s="139"/>
      <c r="T41" s="141">
        <v>10</v>
      </c>
    </row>
    <row r="42" spans="2:20" ht="24.95" customHeight="1" thickBot="1">
      <c r="B42" s="616" t="s">
        <v>63</v>
      </c>
      <c r="C42" s="616"/>
      <c r="D42" s="616"/>
      <c r="E42" s="616"/>
      <c r="F42" s="616"/>
      <c r="G42" s="616"/>
      <c r="H42" s="616"/>
      <c r="I42" s="258"/>
      <c r="J42" s="145">
        <f>J40+J41</f>
        <v>18</v>
      </c>
      <c r="K42" s="259"/>
      <c r="L42" s="145">
        <f>L40+L41</f>
        <v>18</v>
      </c>
      <c r="M42" s="545"/>
      <c r="N42" s="145">
        <f>N40+N41</f>
        <v>21</v>
      </c>
      <c r="O42" s="260"/>
      <c r="P42" s="145">
        <f>P40+P41</f>
        <v>16</v>
      </c>
      <c r="Q42" s="261"/>
      <c r="R42" s="144">
        <f>R40+R41</f>
        <v>16</v>
      </c>
      <c r="S42" s="262"/>
      <c r="T42" s="144">
        <f>T40+T41</f>
        <v>16</v>
      </c>
    </row>
    <row r="43" spans="2:20" ht="24.95" customHeight="1">
      <c r="B43" s="69"/>
      <c r="C43" s="70" t="s">
        <v>24</v>
      </c>
      <c r="D43" s="71"/>
      <c r="E43" s="70" t="s">
        <v>25</v>
      </c>
      <c r="F43" s="71"/>
      <c r="G43" s="69"/>
      <c r="H43" s="69"/>
      <c r="I43" s="72" t="str">
        <f>IF($H$17&gt;(3000*$I$48),"COORDINADOR DE PROYECTOS","")</f>
        <v>COORDINADOR DE PROYECTOS</v>
      </c>
      <c r="J43" s="69"/>
      <c r="K43" s="69"/>
      <c r="L43" s="69"/>
      <c r="M43" s="69"/>
      <c r="N43" s="69"/>
      <c r="O43" s="69"/>
      <c r="P43" s="73" t="str">
        <f>IF($H$17&gt;(7500*$I$48),"GERENTE TÉCNICO","")</f>
        <v>GERENTE TÉCNICO</v>
      </c>
      <c r="S43" s="45"/>
      <c r="T43" s="99"/>
    </row>
    <row r="44" spans="2:20" ht="24.95" customHeight="1">
      <c r="B44" s="26"/>
      <c r="C44" s="22"/>
      <c r="D44" s="26"/>
      <c r="E44" s="48" t="s">
        <v>4</v>
      </c>
      <c r="F44" s="26"/>
      <c r="G44" s="26"/>
      <c r="H44" s="26"/>
      <c r="I44" s="26" t="str">
        <f>IF(I43&lt;&gt;"","FECHA:","")</f>
        <v>FECHA:</v>
      </c>
      <c r="J44" s="26"/>
      <c r="K44" s="26"/>
      <c r="L44" s="26"/>
      <c r="M44" s="26"/>
      <c r="N44" s="26"/>
      <c r="O44" s="26"/>
      <c r="P44" s="48" t="str">
        <f>IF(P43&lt;&gt;"","FECHA:","")</f>
        <v>FECHA:</v>
      </c>
      <c r="R44" s="73"/>
      <c r="T44" s="46"/>
    </row>
    <row r="45" spans="2:20" ht="24.95" customHeight="1">
      <c r="B45" s="47"/>
      <c r="C45" s="47"/>
      <c r="H45" s="104"/>
      <c r="P45" s="100"/>
      <c r="S45" s="46"/>
    </row>
    <row r="46" spans="2:20" ht="24.95" customHeight="1">
      <c r="K46" s="263"/>
      <c r="L46" s="264"/>
      <c r="M46" s="264"/>
      <c r="N46" s="264"/>
      <c r="O46" s="264"/>
      <c r="Q46" s="91"/>
    </row>
    <row r="47" spans="2:20" ht="24.95" customHeight="1">
      <c r="C47" s="617" t="s">
        <v>26</v>
      </c>
      <c r="D47" s="618"/>
      <c r="E47" s="619"/>
      <c r="F47" s="13" t="s">
        <v>27</v>
      </c>
      <c r="H47" s="65" t="s">
        <v>28</v>
      </c>
      <c r="I47" s="66">
        <f ca="1">TODAY()</f>
        <v>46233</v>
      </c>
      <c r="J47" s="6"/>
      <c r="K47" s="264"/>
      <c r="L47" s="265"/>
      <c r="M47" s="265"/>
      <c r="N47" s="265"/>
      <c r="O47" s="266"/>
      <c r="P47"/>
      <c r="Q47"/>
      <c r="R47"/>
      <c r="S47" s="6"/>
      <c r="T47" s="6"/>
    </row>
    <row r="48" spans="2:20" ht="24.95" customHeight="1">
      <c r="C48" s="610" t="s">
        <v>29</v>
      </c>
      <c r="D48" s="611"/>
      <c r="E48" s="611"/>
      <c r="F48" s="52"/>
      <c r="H48" s="67" t="s">
        <v>30</v>
      </c>
      <c r="I48" s="68"/>
      <c r="K48" s="264"/>
      <c r="L48" s="264"/>
      <c r="M48" s="264"/>
      <c r="N48" s="264"/>
      <c r="O48" s="264"/>
    </row>
    <row r="49" spans="1:15" ht="24.95" customHeight="1">
      <c r="B49" s="7"/>
      <c r="C49" s="53" t="s">
        <v>31</v>
      </c>
      <c r="D49" s="54"/>
      <c r="E49" s="55"/>
      <c r="F49" s="56">
        <v>2</v>
      </c>
      <c r="K49" s="264"/>
      <c r="L49" s="264"/>
      <c r="M49" s="264"/>
      <c r="N49" s="264"/>
      <c r="O49" s="264"/>
    </row>
    <row r="50" spans="1:15" ht="24.95" customHeight="1">
      <c r="B50" s="7"/>
      <c r="C50" s="57" t="s">
        <v>32</v>
      </c>
      <c r="D50" s="58"/>
      <c r="E50" s="59"/>
      <c r="F50" s="60">
        <v>0</v>
      </c>
      <c r="H50" s="15"/>
      <c r="I50" s="80"/>
      <c r="J50" s="79"/>
      <c r="K50" s="79"/>
      <c r="L50" s="79"/>
      <c r="M50" s="79"/>
      <c r="N50" s="79"/>
      <c r="O50" s="264"/>
    </row>
    <row r="51" spans="1:15" ht="24.95" customHeight="1">
      <c r="C51" s="610" t="s">
        <v>33</v>
      </c>
      <c r="D51" s="611"/>
      <c r="E51" s="611"/>
      <c r="F51" s="52"/>
      <c r="I51" s="80"/>
      <c r="J51" s="79"/>
      <c r="K51" s="79"/>
      <c r="L51" s="79"/>
      <c r="M51" s="79"/>
      <c r="N51" s="79"/>
      <c r="O51" s="265"/>
    </row>
    <row r="52" spans="1:15" ht="24.95" customHeight="1">
      <c r="B52" s="7"/>
      <c r="C52" s="53" t="s">
        <v>34</v>
      </c>
      <c r="D52" s="54"/>
      <c r="E52" s="55"/>
      <c r="F52" s="56">
        <v>2</v>
      </c>
      <c r="K52" s="264"/>
      <c r="L52" s="264"/>
      <c r="M52" s="264"/>
      <c r="N52" s="264"/>
      <c r="O52" s="264"/>
    </row>
    <row r="53" spans="1:15" ht="24.95" customHeight="1">
      <c r="B53" s="7"/>
      <c r="C53" s="57" t="s">
        <v>35</v>
      </c>
      <c r="D53" s="58"/>
      <c r="E53" s="59"/>
      <c r="F53" s="60">
        <v>0</v>
      </c>
      <c r="K53" s="264"/>
      <c r="L53" s="264"/>
      <c r="M53" s="264"/>
      <c r="N53" s="264"/>
      <c r="O53" s="264"/>
    </row>
    <row r="54" spans="1:15" ht="24.95" customHeight="1">
      <c r="A54" s="6"/>
      <c r="C54" s="610" t="s">
        <v>36</v>
      </c>
      <c r="D54" s="611"/>
      <c r="E54" s="611"/>
      <c r="F54" s="52"/>
      <c r="K54" s="264"/>
      <c r="L54" s="264"/>
      <c r="M54" s="264"/>
      <c r="N54" s="264"/>
      <c r="O54" s="264"/>
    </row>
    <row r="55" spans="1:15" ht="24.95" customHeight="1">
      <c r="C55" s="57" t="s">
        <v>37</v>
      </c>
      <c r="D55" s="58"/>
      <c r="E55" s="59"/>
      <c r="F55" s="60">
        <v>3</v>
      </c>
      <c r="H55" s="6"/>
      <c r="K55" s="264"/>
      <c r="L55" s="264"/>
      <c r="M55" s="264"/>
      <c r="N55" s="264"/>
      <c r="O55" s="264"/>
    </row>
    <row r="56" spans="1:15" ht="24.95" customHeight="1">
      <c r="C56" s="57" t="s">
        <v>38</v>
      </c>
      <c r="D56" s="58"/>
      <c r="E56" s="59"/>
      <c r="F56" s="60">
        <v>2</v>
      </c>
      <c r="H56" s="6"/>
      <c r="K56" s="264"/>
      <c r="L56" s="264"/>
      <c r="M56" s="264"/>
      <c r="N56" s="264"/>
      <c r="O56" s="264"/>
    </row>
    <row r="57" spans="1:15" ht="24.95" customHeight="1">
      <c r="C57" s="57" t="s">
        <v>39</v>
      </c>
      <c r="D57" s="58"/>
      <c r="E57" s="59"/>
      <c r="F57" s="60">
        <v>1</v>
      </c>
      <c r="H57" s="6"/>
      <c r="K57" s="264"/>
      <c r="L57" s="264"/>
      <c r="M57" s="264"/>
      <c r="N57" s="264"/>
      <c r="O57" s="264"/>
    </row>
    <row r="58" spans="1:15" ht="24.95" customHeight="1">
      <c r="C58" s="57" t="s">
        <v>73</v>
      </c>
      <c r="D58" s="58"/>
      <c r="E58" s="59"/>
      <c r="F58" s="60">
        <v>0</v>
      </c>
      <c r="H58" s="6"/>
      <c r="K58" s="264"/>
      <c r="L58" s="264"/>
      <c r="M58" s="264"/>
      <c r="N58" s="264"/>
      <c r="O58" s="264"/>
    </row>
    <row r="59" spans="1:15" ht="24.95" customHeight="1">
      <c r="C59" s="610" t="s">
        <v>40</v>
      </c>
      <c r="D59" s="611"/>
      <c r="E59" s="611"/>
      <c r="F59" s="52"/>
    </row>
    <row r="60" spans="1:15" ht="24.95" customHeight="1">
      <c r="C60" s="61" t="s">
        <v>41</v>
      </c>
      <c r="D60" s="58"/>
      <c r="E60" s="59"/>
      <c r="F60" s="60">
        <v>3</v>
      </c>
    </row>
    <row r="61" spans="1:15" ht="24.95" customHeight="1">
      <c r="C61" s="61" t="s">
        <v>42</v>
      </c>
      <c r="D61" s="58"/>
      <c r="E61" s="59"/>
      <c r="F61" s="60">
        <v>2</v>
      </c>
    </row>
    <row r="62" spans="1:15" ht="24.95" customHeight="1">
      <c r="C62" s="61" t="s">
        <v>43</v>
      </c>
      <c r="D62" s="58"/>
      <c r="E62" s="59"/>
      <c r="F62" s="60">
        <v>1</v>
      </c>
    </row>
    <row r="63" spans="1:15" ht="24.95" customHeight="1">
      <c r="C63" s="61" t="s">
        <v>55</v>
      </c>
      <c r="D63" s="58"/>
      <c r="E63" s="58"/>
      <c r="F63" s="52">
        <v>0</v>
      </c>
    </row>
    <row r="64" spans="1:15" ht="24.95" customHeight="1">
      <c r="C64" s="610" t="s">
        <v>44</v>
      </c>
      <c r="D64" s="611"/>
      <c r="E64" s="611"/>
      <c r="F64" s="52"/>
    </row>
    <row r="65" spans="2:8" ht="24.95" customHeight="1">
      <c r="C65" s="57" t="s">
        <v>45</v>
      </c>
      <c r="D65" s="58"/>
      <c r="E65" s="59"/>
      <c r="F65" s="60">
        <v>2</v>
      </c>
    </row>
    <row r="66" spans="2:8" ht="24.95" customHeight="1">
      <c r="C66" s="57" t="s">
        <v>46</v>
      </c>
      <c r="D66" s="58"/>
      <c r="E66" s="59"/>
      <c r="F66" s="60">
        <v>0</v>
      </c>
    </row>
    <row r="67" spans="2:8" ht="24.95" customHeight="1">
      <c r="C67" s="610" t="s">
        <v>58</v>
      </c>
      <c r="D67" s="611"/>
      <c r="E67" s="611"/>
      <c r="F67" s="612"/>
    </row>
    <row r="68" spans="2:8" ht="24.95" customHeight="1">
      <c r="C68" s="57" t="s">
        <v>59</v>
      </c>
      <c r="D68" s="58"/>
      <c r="E68" s="59"/>
      <c r="F68" s="60">
        <v>2</v>
      </c>
    </row>
    <row r="69" spans="2:8" ht="24.95" customHeight="1">
      <c r="C69" s="57" t="s">
        <v>60</v>
      </c>
      <c r="D69" s="58"/>
      <c r="E69" s="59"/>
      <c r="F69" s="60">
        <v>0</v>
      </c>
    </row>
    <row r="70" spans="2:8" ht="24.95" customHeight="1">
      <c r="C70" s="613" t="s">
        <v>47</v>
      </c>
      <c r="D70" s="614"/>
      <c r="E70" s="615"/>
      <c r="F70" s="62" t="s">
        <v>48</v>
      </c>
    </row>
    <row r="71" spans="2:8" ht="24.95" customHeight="1">
      <c r="B71" s="6"/>
      <c r="C71" s="63"/>
      <c r="D71" s="63"/>
      <c r="E71" s="63" t="s">
        <v>15</v>
      </c>
      <c r="F71" s="64">
        <f>10+F49+F52+F55+F60+F65+F68</f>
        <v>24</v>
      </c>
      <c r="H71" s="6"/>
    </row>
    <row r="72" spans="2:8" ht="20.100000000000001" customHeight="1"/>
  </sheetData>
  <mergeCells count="91">
    <mergeCell ref="C54:E54"/>
    <mergeCell ref="C59:E59"/>
    <mergeCell ref="C64:E64"/>
    <mergeCell ref="C67:F67"/>
    <mergeCell ref="C70:E70"/>
    <mergeCell ref="C51:E51"/>
    <mergeCell ref="B36:H37"/>
    <mergeCell ref="I36:J36"/>
    <mergeCell ref="K36:L36"/>
    <mergeCell ref="O36:P36"/>
    <mergeCell ref="B40:H40"/>
    <mergeCell ref="B41:H41"/>
    <mergeCell ref="B42:H42"/>
    <mergeCell ref="C47:E47"/>
    <mergeCell ref="C48:E48"/>
    <mergeCell ref="M36:N36"/>
    <mergeCell ref="Q36:R36"/>
    <mergeCell ref="S36:T36"/>
    <mergeCell ref="B34:H35"/>
    <mergeCell ref="I34:J34"/>
    <mergeCell ref="K34:L34"/>
    <mergeCell ref="O34:P34"/>
    <mergeCell ref="Q34:R34"/>
    <mergeCell ref="S34:T34"/>
    <mergeCell ref="S26:T26"/>
    <mergeCell ref="B32:H33"/>
    <mergeCell ref="I32:J32"/>
    <mergeCell ref="K32:L32"/>
    <mergeCell ref="O32:P32"/>
    <mergeCell ref="Q32:R32"/>
    <mergeCell ref="S32:T32"/>
    <mergeCell ref="Q26:R26"/>
    <mergeCell ref="M32:N32"/>
    <mergeCell ref="B24:H25"/>
    <mergeCell ref="B26:H31"/>
    <mergeCell ref="I26:J26"/>
    <mergeCell ref="K26:L26"/>
    <mergeCell ref="O26:P26"/>
    <mergeCell ref="S22:T22"/>
    <mergeCell ref="B21:H21"/>
    <mergeCell ref="I21:J21"/>
    <mergeCell ref="K21:L21"/>
    <mergeCell ref="O21:P21"/>
    <mergeCell ref="Q21:R21"/>
    <mergeCell ref="S21:T21"/>
    <mergeCell ref="B22:H23"/>
    <mergeCell ref="I22:J22"/>
    <mergeCell ref="K22:L22"/>
    <mergeCell ref="O22:P22"/>
    <mergeCell ref="Q22:R22"/>
    <mergeCell ref="M21:N21"/>
    <mergeCell ref="M22:N22"/>
    <mergeCell ref="A17:A20"/>
    <mergeCell ref="B17:G17"/>
    <mergeCell ref="O17:P17"/>
    <mergeCell ref="S17:T17"/>
    <mergeCell ref="B18:H19"/>
    <mergeCell ref="I18:J18"/>
    <mergeCell ref="O18:P18"/>
    <mergeCell ref="Q18:R18"/>
    <mergeCell ref="S18:T18"/>
    <mergeCell ref="B20:H20"/>
    <mergeCell ref="S16:T16"/>
    <mergeCell ref="C8:D8"/>
    <mergeCell ref="A9:A14"/>
    <mergeCell ref="C9:D9"/>
    <mergeCell ref="C10:D10"/>
    <mergeCell ref="C11:D11"/>
    <mergeCell ref="C12:D12"/>
    <mergeCell ref="C13:D13"/>
    <mergeCell ref="C14:D14"/>
    <mergeCell ref="A15:A16"/>
    <mergeCell ref="B15:G15"/>
    <mergeCell ref="B16:G16"/>
    <mergeCell ref="I16:J16"/>
    <mergeCell ref="O16:P16"/>
    <mergeCell ref="I6:T6"/>
    <mergeCell ref="B7:H7"/>
    <mergeCell ref="I7:J7"/>
    <mergeCell ref="K7:L7"/>
    <mergeCell ref="O7:P7"/>
    <mergeCell ref="Q7:R7"/>
    <mergeCell ref="S7:T7"/>
    <mergeCell ref="M7:N7"/>
    <mergeCell ref="B5:C5"/>
    <mergeCell ref="D5:G5"/>
    <mergeCell ref="A1:T1"/>
    <mergeCell ref="B3:C3"/>
    <mergeCell ref="D3:G3"/>
    <mergeCell ref="B4:C4"/>
    <mergeCell ref="D4:G4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DC41-B24F-4EBC-8DBA-AC6EC7490718}">
  <sheetPr>
    <tabColor theme="0"/>
  </sheetPr>
  <dimension ref="A1:AB77"/>
  <sheetViews>
    <sheetView topLeftCell="E3" zoomScale="60" zoomScaleNormal="60" workbookViewId="0">
      <pane ySplit="5" topLeftCell="A8" activePane="bottomLeft" state="frozen"/>
      <selection activeCell="G3" sqref="G3"/>
      <selection pane="bottomLeft" activeCell="M11" sqref="M11"/>
    </sheetView>
  </sheetViews>
  <sheetFormatPr baseColWidth="10" defaultColWidth="11.5" defaultRowHeight="11.25"/>
  <cols>
    <col min="1" max="1" width="5.875" style="385" customWidth="1"/>
    <col min="2" max="2" width="5.625" style="385" customWidth="1"/>
    <col min="3" max="3" width="26.125" style="385" customWidth="1"/>
    <col min="4" max="4" width="86.5" style="385" customWidth="1"/>
    <col min="5" max="5" width="25.625" style="385" customWidth="1"/>
    <col min="6" max="6" width="16.125" style="385" customWidth="1"/>
    <col min="7" max="7" width="22.125" style="385" customWidth="1"/>
    <col min="8" max="10" width="23.375" style="385" customWidth="1"/>
    <col min="11" max="18" width="25.625" style="385" customWidth="1"/>
    <col min="19" max="20" width="22.5" style="385" customWidth="1"/>
    <col min="21" max="21" width="48.625" style="385" customWidth="1"/>
    <col min="22" max="28" width="20.625" style="385" hidden="1" customWidth="1"/>
    <col min="29" max="16384" width="11.5" style="385"/>
  </cols>
  <sheetData>
    <row r="1" spans="1:27" ht="113.1" customHeight="1" thickBot="1">
      <c r="A1" s="855" t="s">
        <v>0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  <c r="U1" s="856"/>
      <c r="V1" s="857"/>
      <c r="W1" s="381"/>
      <c r="X1" s="381"/>
      <c r="Y1" s="382" t="s">
        <v>1</v>
      </c>
      <c r="Z1" s="383">
        <v>0</v>
      </c>
      <c r="AA1" s="384">
        <f>Z1+AA2</f>
        <v>1</v>
      </c>
    </row>
    <row r="2" spans="1:27" ht="20.25" customHeight="1" thickBot="1">
      <c r="AA2" s="386">
        <v>1</v>
      </c>
    </row>
    <row r="3" spans="1:27" ht="35.25" customHeight="1" thickBot="1">
      <c r="B3" s="853" t="s">
        <v>2</v>
      </c>
      <c r="C3" s="853"/>
      <c r="D3" s="858" t="s">
        <v>3</v>
      </c>
      <c r="E3" s="858"/>
      <c r="F3" s="858"/>
      <c r="G3" s="858"/>
      <c r="H3" s="387" t="s">
        <v>4</v>
      </c>
      <c r="I3" s="387"/>
      <c r="J3" s="387"/>
      <c r="K3" s="388">
        <v>46141</v>
      </c>
      <c r="L3" s="389"/>
      <c r="M3" s="389"/>
      <c r="N3" s="389"/>
      <c r="O3" s="387" t="s">
        <v>5</v>
      </c>
      <c r="P3" s="390">
        <v>1</v>
      </c>
      <c r="Q3" s="391"/>
      <c r="R3" s="391"/>
      <c r="S3" s="391"/>
      <c r="T3" s="391"/>
      <c r="U3" s="391"/>
    </row>
    <row r="4" spans="1:27" ht="63" customHeight="1">
      <c r="A4" s="392"/>
      <c r="B4" s="859" t="s">
        <v>6</v>
      </c>
      <c r="C4" s="859"/>
      <c r="D4" s="860" t="s">
        <v>166</v>
      </c>
      <c r="E4" s="860"/>
      <c r="F4" s="860"/>
      <c r="G4" s="860"/>
      <c r="H4" s="389"/>
      <c r="I4" s="389"/>
      <c r="J4" s="389"/>
      <c r="K4" s="393"/>
      <c r="L4" s="394"/>
      <c r="M4" s="394"/>
      <c r="N4" s="394"/>
      <c r="O4" s="389"/>
      <c r="P4" s="389"/>
      <c r="Q4" s="395"/>
      <c r="R4" s="389"/>
      <c r="S4" s="389"/>
      <c r="T4" s="389"/>
      <c r="U4" s="389"/>
    </row>
    <row r="5" spans="1:27" ht="18" customHeight="1" thickBot="1">
      <c r="A5" s="392"/>
      <c r="B5" s="853" t="s">
        <v>7</v>
      </c>
      <c r="C5" s="853"/>
      <c r="D5" s="854"/>
      <c r="E5" s="854"/>
      <c r="F5" s="854"/>
      <c r="G5" s="854"/>
      <c r="H5" s="393"/>
      <c r="I5" s="393"/>
      <c r="J5" s="393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</row>
    <row r="6" spans="1:27" ht="18" customHeight="1" thickBot="1">
      <c r="A6" s="397"/>
      <c r="B6" s="397"/>
      <c r="C6" s="397"/>
      <c r="D6" s="397"/>
      <c r="E6" s="397"/>
      <c r="F6" s="397"/>
      <c r="G6" s="397"/>
      <c r="H6" s="397"/>
      <c r="I6" s="864"/>
      <c r="J6" s="865"/>
      <c r="K6" s="865"/>
      <c r="L6" s="865"/>
      <c r="M6" s="865"/>
      <c r="N6" s="865"/>
      <c r="O6" s="865"/>
      <c r="P6" s="865"/>
      <c r="Q6" s="865"/>
      <c r="R6" s="865"/>
      <c r="S6" s="865"/>
      <c r="T6" s="865"/>
      <c r="U6" s="865"/>
      <c r="V6" s="865"/>
      <c r="W6" s="865"/>
      <c r="X6" s="865"/>
      <c r="Y6" s="865"/>
      <c r="Z6" s="865"/>
      <c r="AA6" s="866"/>
    </row>
    <row r="7" spans="1:27" ht="62.25" customHeight="1" thickBot="1">
      <c r="B7" s="861" t="s">
        <v>8</v>
      </c>
      <c r="C7" s="862"/>
      <c r="D7" s="862"/>
      <c r="E7" s="862"/>
      <c r="F7" s="862"/>
      <c r="G7" s="862"/>
      <c r="H7" s="863"/>
      <c r="I7" s="851" t="s">
        <v>182</v>
      </c>
      <c r="J7" s="852"/>
      <c r="K7" s="851" t="s">
        <v>181</v>
      </c>
      <c r="L7" s="852"/>
      <c r="M7" s="851" t="s">
        <v>178</v>
      </c>
      <c r="N7" s="852"/>
      <c r="O7" s="851" t="s">
        <v>180</v>
      </c>
      <c r="P7" s="852"/>
      <c r="Q7" s="840" t="s">
        <v>179</v>
      </c>
      <c r="R7" s="832"/>
      <c r="S7" s="398"/>
      <c r="T7" s="398"/>
      <c r="U7" s="398"/>
      <c r="V7" s="849" t="s">
        <v>9</v>
      </c>
      <c r="W7" s="849"/>
      <c r="X7" s="849"/>
      <c r="Y7" s="849"/>
      <c r="Z7" s="849"/>
      <c r="AA7" s="850"/>
    </row>
    <row r="8" spans="1:27" ht="54.75" customHeight="1" thickBot="1">
      <c r="A8" s="397"/>
      <c r="B8" s="399" t="s">
        <v>10</v>
      </c>
      <c r="C8" s="839" t="s">
        <v>11</v>
      </c>
      <c r="D8" s="839"/>
      <c r="E8" s="402" t="s">
        <v>12</v>
      </c>
      <c r="F8" s="401" t="s">
        <v>13</v>
      </c>
      <c r="G8" s="401" t="s">
        <v>14</v>
      </c>
      <c r="H8" s="400" t="s">
        <v>15</v>
      </c>
      <c r="I8" s="403" t="s">
        <v>84</v>
      </c>
      <c r="J8" s="404" t="s">
        <v>15</v>
      </c>
      <c r="K8" s="403" t="s">
        <v>84</v>
      </c>
      <c r="L8" s="404" t="s">
        <v>15</v>
      </c>
      <c r="M8" s="403" t="s">
        <v>84</v>
      </c>
      <c r="N8" s="404" t="s">
        <v>15</v>
      </c>
      <c r="O8" s="399" t="s">
        <v>14</v>
      </c>
      <c r="P8" s="400" t="s">
        <v>15</v>
      </c>
      <c r="Q8" s="399" t="s">
        <v>14</v>
      </c>
      <c r="R8" s="400" t="s">
        <v>15</v>
      </c>
      <c r="S8" s="398" t="s">
        <v>10</v>
      </c>
      <c r="T8" s="840" t="s">
        <v>11</v>
      </c>
      <c r="U8" s="832"/>
      <c r="V8" s="840"/>
      <c r="W8" s="841"/>
      <c r="X8" s="840"/>
      <c r="Y8" s="832"/>
      <c r="Z8" s="831"/>
      <c r="AA8" s="832"/>
    </row>
    <row r="9" spans="1:27" ht="48" customHeight="1">
      <c r="A9" s="833"/>
      <c r="B9" s="405">
        <v>1</v>
      </c>
      <c r="C9" s="834" t="s">
        <v>167</v>
      </c>
      <c r="D9" s="835"/>
      <c r="E9" s="406" t="s">
        <v>108</v>
      </c>
      <c r="F9" s="406">
        <v>37.79</v>
      </c>
      <c r="G9" s="407">
        <v>9774.6959999999999</v>
      </c>
      <c r="H9" s="408">
        <f>F9*G9</f>
        <v>369385.76183999999</v>
      </c>
      <c r="I9" s="409">
        <f>(97.07*1.18*60)+(42.66*1.018*60)</f>
        <v>9478.228799999999</v>
      </c>
      <c r="J9" s="410">
        <f>F9*I9</f>
        <v>358182.26635199995</v>
      </c>
      <c r="K9" s="409">
        <f>(158.1*1.18*60)+(42.66*1.018*60)</f>
        <v>13799.1528</v>
      </c>
      <c r="L9" s="410">
        <f>F9*K9</f>
        <v>521469.98431199999</v>
      </c>
      <c r="M9" s="409">
        <f>87*60*1.45</f>
        <v>7569</v>
      </c>
      <c r="N9" s="410">
        <f>F9*M9</f>
        <v>286032.51</v>
      </c>
      <c r="O9" s="409">
        <f>6827.29*1.018</f>
        <v>6950.1812200000004</v>
      </c>
      <c r="P9" s="217">
        <f>F9*O9</f>
        <v>262647.34830379998</v>
      </c>
      <c r="Q9" s="218">
        <f>9000*1.18</f>
        <v>10620</v>
      </c>
      <c r="R9" s="215">
        <f>F9*Q9</f>
        <v>401329.8</v>
      </c>
      <c r="T9" s="411"/>
      <c r="U9" s="412"/>
      <c r="V9" s="413"/>
      <c r="W9" s="414"/>
      <c r="X9" s="415"/>
      <c r="Y9" s="416"/>
      <c r="Z9" s="415"/>
      <c r="AA9" s="416"/>
    </row>
    <row r="10" spans="1:27" ht="48" customHeight="1">
      <c r="A10" s="833"/>
      <c r="B10" s="405">
        <v>2</v>
      </c>
      <c r="C10" s="834" t="s">
        <v>168</v>
      </c>
      <c r="D10" s="835"/>
      <c r="E10" s="406" t="s">
        <v>108</v>
      </c>
      <c r="F10" s="406">
        <v>16.8</v>
      </c>
      <c r="G10" s="407">
        <v>6904.9323999999997</v>
      </c>
      <c r="H10" s="408">
        <f>F10*G10</f>
        <v>116002.86431999999</v>
      </c>
      <c r="I10" s="409">
        <f>(97.07*1.18*60)+(42.66*1.018*60)</f>
        <v>9478.228799999999</v>
      </c>
      <c r="J10" s="410">
        <f>F10*I10</f>
        <v>159234.24383999998</v>
      </c>
      <c r="K10" s="409">
        <f>(158.1*1.18*60)+(42.66*1.018*60)</f>
        <v>13799.1528</v>
      </c>
      <c r="L10" s="410">
        <f>F10*K10</f>
        <v>231825.76704000001</v>
      </c>
      <c r="M10" s="409">
        <f>87*60*1.45</f>
        <v>7569</v>
      </c>
      <c r="N10" s="410">
        <f>F10*M10</f>
        <v>127159.20000000001</v>
      </c>
      <c r="O10" s="409">
        <f>6827.29*1.018</f>
        <v>6950.1812200000004</v>
      </c>
      <c r="P10" s="217">
        <f>F10*O10</f>
        <v>116763.04449600002</v>
      </c>
      <c r="Q10" s="218">
        <f>6800*1.18</f>
        <v>8024</v>
      </c>
      <c r="R10" s="215">
        <f>F10*Q10</f>
        <v>134803.20000000001</v>
      </c>
      <c r="S10" s="417"/>
      <c r="T10" s="411"/>
      <c r="U10" s="412"/>
      <c r="V10" s="413"/>
      <c r="W10" s="414"/>
      <c r="X10" s="415"/>
      <c r="Y10" s="416"/>
      <c r="Z10" s="415"/>
      <c r="AA10" s="416"/>
    </row>
    <row r="11" spans="1:27" ht="48" customHeight="1">
      <c r="A11" s="833"/>
      <c r="B11" s="405">
        <v>3</v>
      </c>
      <c r="C11" s="834" t="s">
        <v>169</v>
      </c>
      <c r="D11" s="835"/>
      <c r="E11" s="406" t="s">
        <v>50</v>
      </c>
      <c r="F11" s="406">
        <v>4</v>
      </c>
      <c r="G11" s="418">
        <v>27530.18</v>
      </c>
      <c r="H11" s="408">
        <f>F11*G11</f>
        <v>110120.72</v>
      </c>
      <c r="I11" s="409">
        <f>((449*1.18*60*2)/4)+(99.71*60*1.1018)</f>
        <v>22486.228679999997</v>
      </c>
      <c r="J11" s="410">
        <f>F11*I11</f>
        <v>89944.914719999986</v>
      </c>
      <c r="K11" s="409">
        <f>((449*1.18*60*2)/4)+(99.71*60*1.1018)</f>
        <v>22486.228679999997</v>
      </c>
      <c r="L11" s="410">
        <f>F11*K11</f>
        <v>89944.914719999986</v>
      </c>
      <c r="M11" s="409">
        <f>180*60*1.45</f>
        <v>15660</v>
      </c>
      <c r="N11" s="410">
        <f>F11*M11</f>
        <v>62640</v>
      </c>
      <c r="O11" s="419">
        <v>23365.66</v>
      </c>
      <c r="P11" s="217">
        <f>F11*O11</f>
        <v>93462.64</v>
      </c>
      <c r="Q11" s="218">
        <v>17784</v>
      </c>
      <c r="R11" s="215">
        <f>F11*Q11</f>
        <v>71136</v>
      </c>
      <c r="S11" s="417"/>
      <c r="T11" s="411"/>
      <c r="U11" s="412"/>
      <c r="V11" s="413"/>
      <c r="W11" s="414"/>
      <c r="X11" s="415"/>
      <c r="Y11" s="416"/>
      <c r="Z11" s="415"/>
      <c r="AA11" s="416"/>
    </row>
    <row r="12" spans="1:27" ht="48" customHeight="1" thickBot="1">
      <c r="A12" s="833"/>
      <c r="B12" s="405">
        <v>4</v>
      </c>
      <c r="C12" s="836"/>
      <c r="D12" s="836"/>
      <c r="E12" s="406"/>
      <c r="F12" s="406"/>
      <c r="G12" s="420"/>
      <c r="H12" s="408"/>
      <c r="I12" s="409"/>
      <c r="J12" s="410"/>
      <c r="K12" s="409"/>
      <c r="L12" s="410"/>
      <c r="M12" s="409"/>
      <c r="N12" s="410"/>
      <c r="O12" s="419"/>
      <c r="P12" s="217"/>
      <c r="Q12" s="218"/>
      <c r="R12" s="215"/>
      <c r="S12" s="417"/>
      <c r="T12" s="411"/>
      <c r="U12" s="412"/>
      <c r="V12" s="413"/>
      <c r="W12" s="414"/>
      <c r="X12" s="415"/>
      <c r="Y12" s="416"/>
      <c r="Z12" s="415"/>
      <c r="AA12" s="416"/>
    </row>
    <row r="13" spans="1:27" ht="30" customHeight="1" thickBot="1">
      <c r="A13" s="842" t="s">
        <v>16</v>
      </c>
      <c r="B13" s="843" t="s">
        <v>17</v>
      </c>
      <c r="C13" s="844"/>
      <c r="D13" s="844"/>
      <c r="E13" s="844"/>
      <c r="F13" s="844"/>
      <c r="G13" s="845"/>
      <c r="H13" s="421">
        <f>SUM(H9:H12)</f>
        <v>595509.34615999996</v>
      </c>
      <c r="I13" s="422"/>
      <c r="J13" s="423">
        <f>SUM(J9:J12)</f>
        <v>607361.42491199996</v>
      </c>
      <c r="K13" s="422"/>
      <c r="L13" s="423">
        <f>SUM(L9:L12)</f>
        <v>843240.66607200005</v>
      </c>
      <c r="M13" s="422"/>
      <c r="N13" s="423">
        <f>SUM(N9:N12)</f>
        <v>475831.71</v>
      </c>
      <c r="O13" s="424"/>
      <c r="P13" s="425">
        <f>SUM(P9:P12)</f>
        <v>472873.03279980004</v>
      </c>
      <c r="Q13" s="426"/>
      <c r="R13" s="427">
        <f>SUM(R9:R12)</f>
        <v>607269</v>
      </c>
      <c r="S13" s="428"/>
      <c r="T13" s="428"/>
      <c r="U13" s="428"/>
      <c r="V13" s="429"/>
      <c r="W13" s="430"/>
      <c r="X13" s="430"/>
      <c r="Y13" s="430"/>
      <c r="Z13" s="430"/>
      <c r="AA13" s="431"/>
    </row>
    <row r="14" spans="1:27" ht="25.5" customHeight="1">
      <c r="A14" s="820"/>
      <c r="B14" s="846" t="s">
        <v>49</v>
      </c>
      <c r="C14" s="847"/>
      <c r="D14" s="847"/>
      <c r="E14" s="847"/>
      <c r="F14" s="847"/>
      <c r="G14" s="847"/>
      <c r="H14" s="432"/>
      <c r="I14" s="837">
        <f>I13*0.18</f>
        <v>0</v>
      </c>
      <c r="J14" s="848"/>
      <c r="K14" s="837">
        <f>K13*0.18</f>
        <v>0</v>
      </c>
      <c r="L14" s="848"/>
      <c r="M14" s="837">
        <f>M13*0.18</f>
        <v>0</v>
      </c>
      <c r="N14" s="848"/>
      <c r="O14" s="837">
        <f>0.18*O13</f>
        <v>0</v>
      </c>
      <c r="P14" s="838"/>
      <c r="Q14" s="433"/>
      <c r="R14" s="434"/>
      <c r="S14" s="435"/>
      <c r="T14" s="435"/>
      <c r="U14" s="435"/>
      <c r="V14" s="429"/>
      <c r="W14" s="430"/>
      <c r="X14" s="430"/>
      <c r="Y14" s="430"/>
      <c r="Z14" s="430"/>
      <c r="AA14" s="431"/>
    </row>
    <row r="15" spans="1:27" ht="22.5" customHeight="1" thickBot="1">
      <c r="A15" s="820" t="s">
        <v>18</v>
      </c>
      <c r="B15" s="822" t="s">
        <v>19</v>
      </c>
      <c r="C15" s="823"/>
      <c r="D15" s="823"/>
      <c r="E15" s="823"/>
      <c r="F15" s="823"/>
      <c r="G15" s="823"/>
      <c r="H15" s="436">
        <f>H13+H14</f>
        <v>595509.34615999996</v>
      </c>
      <c r="I15" s="824">
        <f>J13</f>
        <v>607361.42491199996</v>
      </c>
      <c r="J15" s="825"/>
      <c r="K15" s="824">
        <f>L13</f>
        <v>843240.66607200005</v>
      </c>
      <c r="L15" s="825"/>
      <c r="M15" s="824">
        <f>N13</f>
        <v>475831.71</v>
      </c>
      <c r="N15" s="825"/>
      <c r="O15" s="826">
        <f>P13</f>
        <v>472873.03279980004</v>
      </c>
      <c r="P15" s="827"/>
      <c r="Q15" s="437"/>
      <c r="R15" s="438">
        <f>R13+R14</f>
        <v>607269</v>
      </c>
      <c r="S15" s="428"/>
      <c r="T15" s="428"/>
      <c r="U15" s="428"/>
      <c r="V15" s="439"/>
      <c r="W15" s="440"/>
      <c r="X15" s="440"/>
      <c r="Y15" s="440"/>
      <c r="Z15" s="440"/>
      <c r="AA15" s="441"/>
    </row>
    <row r="16" spans="1:27" ht="27" customHeight="1">
      <c r="A16" s="820"/>
      <c r="B16" s="647" t="s">
        <v>20</v>
      </c>
      <c r="C16" s="648"/>
      <c r="D16" s="648"/>
      <c r="E16" s="648"/>
      <c r="F16" s="648"/>
      <c r="G16" s="648"/>
      <c r="H16" s="649"/>
      <c r="I16" s="828"/>
      <c r="J16" s="829"/>
      <c r="K16" s="828"/>
      <c r="L16" s="829"/>
      <c r="M16" s="828"/>
      <c r="N16" s="829"/>
      <c r="O16" s="830">
        <f>6827</f>
        <v>6827</v>
      </c>
      <c r="P16" s="829"/>
      <c r="Q16" s="443"/>
      <c r="R16" s="442"/>
      <c r="S16" s="444"/>
      <c r="T16" s="445"/>
      <c r="U16" s="445"/>
    </row>
    <row r="17" spans="1:21" ht="23.25" customHeight="1">
      <c r="A17" s="820"/>
      <c r="B17" s="647"/>
      <c r="C17" s="648"/>
      <c r="D17" s="648"/>
      <c r="E17" s="648"/>
      <c r="F17" s="648"/>
      <c r="G17" s="648"/>
      <c r="H17" s="649"/>
      <c r="I17" s="446" t="s">
        <v>21</v>
      </c>
      <c r="J17" s="447">
        <v>4</v>
      </c>
      <c r="K17" s="446" t="s">
        <v>21</v>
      </c>
      <c r="L17" s="447">
        <v>2</v>
      </c>
      <c r="M17" s="446" t="s">
        <v>21</v>
      </c>
      <c r="N17" s="447">
        <v>1</v>
      </c>
      <c r="O17" s="446" t="s">
        <v>21</v>
      </c>
      <c r="P17" s="447">
        <v>5</v>
      </c>
      <c r="Q17" s="446" t="s">
        <v>21</v>
      </c>
      <c r="R17" s="447">
        <v>3</v>
      </c>
      <c r="S17" s="444"/>
      <c r="U17" s="448"/>
    </row>
    <row r="18" spans="1:21" ht="27.75" customHeight="1" thickBot="1">
      <c r="A18" s="821"/>
      <c r="B18" s="647" t="s">
        <v>22</v>
      </c>
      <c r="C18" s="648"/>
      <c r="D18" s="648"/>
      <c r="E18" s="648"/>
      <c r="F18" s="648"/>
      <c r="G18" s="648"/>
      <c r="H18" s="649"/>
      <c r="I18" s="446" t="s">
        <v>23</v>
      </c>
      <c r="J18" s="449">
        <f>IF(OR($H$15=0,I15=0),"-",I15-$H$15)</f>
        <v>11852.078752000001</v>
      </c>
      <c r="K18" s="446" t="s">
        <v>23</v>
      </c>
      <c r="L18" s="449">
        <f>IF(OR($H$15=0,K15=0),"-",K15-$H$15)</f>
        <v>247731.31991200009</v>
      </c>
      <c r="M18" s="446" t="s">
        <v>23</v>
      </c>
      <c r="N18" s="449">
        <f>IF(OR($H$15=0,M15=0),"-",M15-$H$15)</f>
        <v>-119677.63615999994</v>
      </c>
      <c r="O18" s="450" t="s">
        <v>23</v>
      </c>
      <c r="P18" s="449">
        <f>IF(OR($H$15=0,O15=0),"-",O15-$H$15)</f>
        <v>-122636.31336019991</v>
      </c>
      <c r="Q18" s="450" t="s">
        <v>23</v>
      </c>
      <c r="R18" s="449">
        <f>IF(OR($H$15=0,R15=0),"-",R15-$H$15)</f>
        <v>11759.653840000043</v>
      </c>
      <c r="S18" s="451"/>
      <c r="T18" s="451"/>
      <c r="U18" s="452"/>
    </row>
    <row r="19" spans="1:21" ht="24.95" customHeight="1" thickBot="1">
      <c r="A19" s="430"/>
      <c r="B19" s="650" t="s">
        <v>51</v>
      </c>
      <c r="C19" s="651"/>
      <c r="D19" s="651"/>
      <c r="E19" s="651"/>
      <c r="F19" s="651"/>
      <c r="G19" s="651"/>
      <c r="H19" s="652"/>
      <c r="I19" s="810">
        <f>J18*77</f>
        <v>912610.0639040001</v>
      </c>
      <c r="J19" s="811"/>
      <c r="K19" s="810">
        <f>L18*77</f>
        <v>19075311.633224007</v>
      </c>
      <c r="L19" s="811"/>
      <c r="M19" s="810">
        <f>N18*77</f>
        <v>-9215177.9843199942</v>
      </c>
      <c r="N19" s="811"/>
      <c r="O19" s="812">
        <f t="shared" ref="O19" si="0">P18*77</f>
        <v>-9442996.1287353933</v>
      </c>
      <c r="P19" s="811"/>
      <c r="Q19" s="812">
        <f t="shared" ref="Q19" si="1">R18*77</f>
        <v>905493.34568000329</v>
      </c>
      <c r="R19" s="811"/>
      <c r="S19" s="453"/>
      <c r="T19" s="453"/>
      <c r="U19" s="448"/>
    </row>
    <row r="20" spans="1:21" ht="34.5" customHeight="1">
      <c r="A20" s="430"/>
      <c r="B20" s="621" t="s">
        <v>20</v>
      </c>
      <c r="C20" s="622"/>
      <c r="D20" s="622"/>
      <c r="E20" s="622"/>
      <c r="F20" s="622"/>
      <c r="G20" s="622"/>
      <c r="H20" s="623"/>
      <c r="I20" s="778" t="str">
        <f>IF(OR($H$15=0,I15=0),"",IF(I15&lt;=$H$15,$C$55,$C$56))</f>
        <v>Precio mayor al presupuesto</v>
      </c>
      <c r="J20" s="779"/>
      <c r="K20" s="780" t="str">
        <f t="shared" ref="K20" si="2">IF(OR($H$15=0,K15=0),"",IF(K15&lt;=$H$15,$C$55,$C$56))</f>
        <v>Precio mayor al presupuesto</v>
      </c>
      <c r="L20" s="781"/>
      <c r="M20" s="783" t="str">
        <f t="shared" ref="M20" si="3">IF(OR($H$15=0,M15=0),"",IF(M15&lt;=$H$15,$C$55,$C$56))</f>
        <v>Precio menor o igual al presupuesto</v>
      </c>
      <c r="N20" s="784"/>
      <c r="O20" s="782" t="str">
        <f t="shared" ref="O20" si="4">IF(OR($H$15=0,O15=0),"",IF(O15&lt;=$H$15,$C$55,$C$56))</f>
        <v>Precio menor o igual al presupuesto</v>
      </c>
      <c r="P20" s="779"/>
      <c r="Q20" s="782" t="str">
        <f>IF(OR($H$15=0,R15=0),"",IF(R15&lt;=$H$15,$C$55,$C$56))</f>
        <v>Precio mayor al presupuesto</v>
      </c>
      <c r="R20" s="779"/>
      <c r="S20" s="453"/>
      <c r="T20" s="453"/>
      <c r="U20" s="454"/>
    </row>
    <row r="21" spans="1:21" ht="34.5" customHeight="1">
      <c r="A21" s="430"/>
      <c r="B21" s="621"/>
      <c r="C21" s="622"/>
      <c r="D21" s="622"/>
      <c r="E21" s="622"/>
      <c r="F21" s="622"/>
      <c r="G21" s="622"/>
      <c r="H21" s="623"/>
      <c r="I21" s="244" t="s">
        <v>21</v>
      </c>
      <c r="J21" s="109">
        <f>IF(I20=$C$55,$F$55,0)</f>
        <v>0</v>
      </c>
      <c r="K21" s="245" t="s">
        <v>21</v>
      </c>
      <c r="L21" s="245">
        <f>IF(K20=$C$55,$F$55,0)</f>
        <v>0</v>
      </c>
      <c r="M21" s="539" t="s">
        <v>21</v>
      </c>
      <c r="N21" s="109">
        <f>IF(M20=$C$55,$F$55,0)</f>
        <v>2</v>
      </c>
      <c r="O21" s="108" t="s">
        <v>21</v>
      </c>
      <c r="P21" s="109">
        <f>IF(O20=$C$55,$F$55,0)</f>
        <v>2</v>
      </c>
      <c r="Q21" s="108" t="s">
        <v>21</v>
      </c>
      <c r="R21" s="109">
        <f>IF(Q20=$C$55,$F$55,0)</f>
        <v>0</v>
      </c>
      <c r="S21" s="453"/>
      <c r="T21" s="453"/>
      <c r="U21" s="454"/>
    </row>
    <row r="22" spans="1:21" ht="34.5" customHeight="1">
      <c r="A22" s="430"/>
      <c r="B22" s="621" t="s">
        <v>22</v>
      </c>
      <c r="C22" s="622"/>
      <c r="D22" s="622"/>
      <c r="E22" s="622"/>
      <c r="F22" s="622"/>
      <c r="G22" s="622"/>
      <c r="H22" s="623"/>
      <c r="I22" s="244" t="s">
        <v>23</v>
      </c>
      <c r="J22" s="101">
        <f>IF(OR($H$15=0,I15=0),"-",I15-$H$15)</f>
        <v>11852.078752000001</v>
      </c>
      <c r="K22" s="246" t="s">
        <v>23</v>
      </c>
      <c r="L22" s="246">
        <f>IF(OR($H$15=0,K15=0),"-",K15-$H$15)</f>
        <v>247731.31991200009</v>
      </c>
      <c r="M22" s="173" t="s">
        <v>23</v>
      </c>
      <c r="N22" s="101">
        <f>IF(OR($H$15=0,M15=0),"-",M15-$H$15)</f>
        <v>-119677.63615999994</v>
      </c>
      <c r="O22" s="108" t="s">
        <v>23</v>
      </c>
      <c r="P22" s="101">
        <f>IF(OR($H$15=0,O15=0),"-",O15-$H$15)</f>
        <v>-122636.31336019991</v>
      </c>
      <c r="Q22" s="108" t="s">
        <v>23</v>
      </c>
      <c r="R22" s="101">
        <f>IF(OR($H$15=0,R15=0),"-",R15-$H$15)</f>
        <v>11759.653840000043</v>
      </c>
      <c r="S22" s="453"/>
      <c r="T22" s="453"/>
      <c r="U22" s="454"/>
    </row>
    <row r="23" spans="1:21" ht="34.5" customHeight="1">
      <c r="A23" s="430"/>
      <c r="B23" s="621"/>
      <c r="C23" s="622"/>
      <c r="D23" s="622"/>
      <c r="E23" s="622"/>
      <c r="F23" s="622"/>
      <c r="G23" s="622"/>
      <c r="H23" s="623"/>
      <c r="I23" s="111" t="s">
        <v>21</v>
      </c>
      <c r="J23" s="50">
        <f>IF(AND(J22&lt;N22,J22&lt;P22,J22&lt;R22,J22&lt;L22),2,0)</f>
        <v>0</v>
      </c>
      <c r="K23" s="247" t="s">
        <v>21</v>
      </c>
      <c r="L23" s="247">
        <f>IF(AND(L22&lt;P22,L22&lt;R22,L22&lt;T22,L22&lt;N22),2,0)</f>
        <v>0</v>
      </c>
      <c r="M23" s="508" t="s">
        <v>21</v>
      </c>
      <c r="N23" s="50">
        <f>IF(AND(N22&lt;R22,N22&lt;T22,N22&lt;V22,N22&lt;P22),2,0)</f>
        <v>0</v>
      </c>
      <c r="O23" s="537" t="s">
        <v>21</v>
      </c>
      <c r="P23" s="50">
        <f>IF(AND(P22&lt;T22,P22&lt;V22,P22&lt;X22,P22&lt;R22),2,0)</f>
        <v>2</v>
      </c>
      <c r="Q23" s="105" t="s">
        <v>21</v>
      </c>
      <c r="R23" s="50">
        <f>IF(AND(R22&lt;V22,R22&lt;X22,R22&lt;Z22,R22&lt;T22),2,0)</f>
        <v>0</v>
      </c>
      <c r="S23" s="453"/>
      <c r="T23" s="453"/>
      <c r="U23" s="454"/>
    </row>
    <row r="24" spans="1:21" ht="34.5" customHeight="1">
      <c r="A24" s="430"/>
      <c r="B24" s="628" t="s">
        <v>53</v>
      </c>
      <c r="C24" s="629"/>
      <c r="D24" s="629"/>
      <c r="E24" s="629"/>
      <c r="F24" s="629"/>
      <c r="G24" s="629"/>
      <c r="H24" s="629"/>
      <c r="I24" s="642" t="str">
        <f>$C$62</f>
        <v>Por valuación de obra ejecutada con anticipo</v>
      </c>
      <c r="J24" s="643"/>
      <c r="K24" s="642" t="str">
        <f>$C$62</f>
        <v>Por valuación de obra ejecutada con anticipo</v>
      </c>
      <c r="L24" s="643"/>
      <c r="M24" s="642" t="str">
        <f>$C$62</f>
        <v>Por valuación de obra ejecutada con anticipo</v>
      </c>
      <c r="N24" s="643"/>
      <c r="O24" s="642" t="str">
        <f>$C$62</f>
        <v>Por valuación de obra ejecutada con anticipo</v>
      </c>
      <c r="P24" s="643"/>
      <c r="Q24" s="642" t="str">
        <f>$C$62</f>
        <v>Por valuación de obra ejecutada con anticipo</v>
      </c>
      <c r="R24" s="643"/>
      <c r="S24" s="453"/>
      <c r="T24" s="453"/>
      <c r="U24" s="454"/>
    </row>
    <row r="25" spans="1:21" ht="34.5" customHeight="1">
      <c r="A25" s="430"/>
      <c r="B25" s="638"/>
      <c r="C25" s="639"/>
      <c r="D25" s="639"/>
      <c r="E25" s="639"/>
      <c r="F25" s="639"/>
      <c r="G25" s="639"/>
      <c r="H25" s="639"/>
      <c r="I25" s="113" t="s">
        <v>21</v>
      </c>
      <c r="J25" s="114">
        <v>2</v>
      </c>
      <c r="K25" s="113" t="s">
        <v>21</v>
      </c>
      <c r="L25" s="287">
        <v>2</v>
      </c>
      <c r="M25" s="113" t="s">
        <v>21</v>
      </c>
      <c r="N25" s="114">
        <v>2</v>
      </c>
      <c r="O25" s="287" t="s">
        <v>21</v>
      </c>
      <c r="P25" s="114">
        <v>2</v>
      </c>
      <c r="Q25" s="113" t="s">
        <v>21</v>
      </c>
      <c r="R25" s="114">
        <v>2</v>
      </c>
      <c r="S25" s="453"/>
      <c r="T25" s="453"/>
      <c r="U25" s="454"/>
    </row>
    <row r="26" spans="1:21" ht="34.5" customHeight="1">
      <c r="A26" s="430"/>
      <c r="B26" s="638"/>
      <c r="C26" s="639"/>
      <c r="D26" s="639"/>
      <c r="E26" s="639"/>
      <c r="F26" s="639"/>
      <c r="G26" s="639"/>
      <c r="H26" s="639"/>
      <c r="I26" s="248" t="s">
        <v>110</v>
      </c>
      <c r="J26" s="249"/>
      <c r="K26" s="248" t="s">
        <v>110</v>
      </c>
      <c r="L26" s="251"/>
      <c r="M26" s="538" t="s">
        <v>110</v>
      </c>
      <c r="N26" s="249"/>
      <c r="O26" s="538" t="s">
        <v>110</v>
      </c>
      <c r="P26" s="250"/>
      <c r="Q26" s="248" t="s">
        <v>110</v>
      </c>
      <c r="R26" s="114"/>
      <c r="S26" s="453"/>
      <c r="T26" s="453"/>
      <c r="U26" s="454"/>
    </row>
    <row r="27" spans="1:21" ht="34.5" customHeight="1">
      <c r="A27" s="430"/>
      <c r="B27" s="638"/>
      <c r="C27" s="639"/>
      <c r="D27" s="639"/>
      <c r="E27" s="639"/>
      <c r="F27" s="639"/>
      <c r="G27" s="639"/>
      <c r="H27" s="639"/>
      <c r="I27" s="248" t="s">
        <v>111</v>
      </c>
      <c r="J27" s="249"/>
      <c r="K27" s="248" t="s">
        <v>111</v>
      </c>
      <c r="L27" s="251"/>
      <c r="M27" s="538" t="s">
        <v>111</v>
      </c>
      <c r="N27" s="249"/>
      <c r="O27" s="538" t="s">
        <v>111</v>
      </c>
      <c r="P27" s="250"/>
      <c r="Q27" s="248" t="s">
        <v>111</v>
      </c>
      <c r="R27" s="114"/>
      <c r="S27" s="453"/>
      <c r="T27" s="453"/>
      <c r="U27" s="454"/>
    </row>
    <row r="28" spans="1:21" ht="34.5" customHeight="1">
      <c r="A28" s="430"/>
      <c r="B28" s="638"/>
      <c r="C28" s="639"/>
      <c r="D28" s="639"/>
      <c r="E28" s="639"/>
      <c r="F28" s="639"/>
      <c r="G28" s="639"/>
      <c r="H28" s="639"/>
      <c r="I28" s="248" t="s">
        <v>112</v>
      </c>
      <c r="J28" s="249"/>
      <c r="K28" s="248" t="s">
        <v>112</v>
      </c>
      <c r="L28" s="251"/>
      <c r="M28" s="538" t="s">
        <v>112</v>
      </c>
      <c r="N28" s="249"/>
      <c r="O28" s="538" t="s">
        <v>112</v>
      </c>
      <c r="P28" s="250"/>
      <c r="Q28" s="248" t="s">
        <v>112</v>
      </c>
      <c r="R28" s="114"/>
      <c r="S28" s="453"/>
      <c r="T28" s="453"/>
      <c r="U28" s="454"/>
    </row>
    <row r="29" spans="1:21" ht="34.5" customHeight="1">
      <c r="A29" s="430"/>
      <c r="B29" s="640"/>
      <c r="C29" s="641"/>
      <c r="D29" s="641"/>
      <c r="E29" s="641"/>
      <c r="F29" s="641"/>
      <c r="G29" s="641"/>
      <c r="H29" s="641"/>
      <c r="I29" s="248" t="s">
        <v>113</v>
      </c>
      <c r="J29" s="249"/>
      <c r="K29" s="248" t="s">
        <v>113</v>
      </c>
      <c r="L29" s="251"/>
      <c r="M29" s="538" t="s">
        <v>113</v>
      </c>
      <c r="N29" s="249"/>
      <c r="O29" s="538" t="s">
        <v>113</v>
      </c>
      <c r="P29" s="250"/>
      <c r="Q29" s="248" t="s">
        <v>113</v>
      </c>
      <c r="R29" s="114"/>
      <c r="S29" s="453"/>
      <c r="T29" s="453"/>
      <c r="U29" s="454"/>
    </row>
    <row r="30" spans="1:21" ht="34.5" customHeight="1">
      <c r="A30" s="430"/>
      <c r="B30" s="621" t="s">
        <v>54</v>
      </c>
      <c r="C30" s="622"/>
      <c r="D30" s="622"/>
      <c r="E30" s="622"/>
      <c r="F30" s="622"/>
      <c r="G30" s="622"/>
      <c r="H30" s="623"/>
      <c r="I30" s="624" t="str">
        <f>$C$67</f>
        <v>A los 30 días</v>
      </c>
      <c r="J30" s="625"/>
      <c r="K30" s="624" t="str">
        <f t="shared" ref="K30" si="5">$C$67</f>
        <v>A los 30 días</v>
      </c>
      <c r="L30" s="625"/>
      <c r="M30" s="624" t="str">
        <f t="shared" ref="M30" si="6">$C$67</f>
        <v>A los 30 días</v>
      </c>
      <c r="N30" s="625"/>
      <c r="O30" s="624" t="str">
        <f t="shared" ref="O30" si="7">$C$67</f>
        <v>A los 30 días</v>
      </c>
      <c r="P30" s="625"/>
      <c r="Q30" s="624" t="str">
        <f t="shared" ref="Q30" si="8">$C$67</f>
        <v>A los 30 días</v>
      </c>
      <c r="R30" s="625"/>
      <c r="S30" s="453"/>
      <c r="T30" s="453"/>
      <c r="U30" s="454"/>
    </row>
    <row r="31" spans="1:21" ht="34.5" customHeight="1">
      <c r="A31" s="430"/>
      <c r="B31" s="621"/>
      <c r="C31" s="622"/>
      <c r="D31" s="622"/>
      <c r="E31" s="622"/>
      <c r="F31" s="622"/>
      <c r="G31" s="622"/>
      <c r="H31" s="623"/>
      <c r="I31" s="252" t="s">
        <v>21</v>
      </c>
      <c r="J31" s="112">
        <f>$F$67</f>
        <v>2</v>
      </c>
      <c r="K31" s="106" t="s">
        <v>21</v>
      </c>
      <c r="L31" s="247">
        <f>$F$67</f>
        <v>2</v>
      </c>
      <c r="M31" s="508" t="s">
        <v>21</v>
      </c>
      <c r="N31" s="50">
        <f>$F$67</f>
        <v>2</v>
      </c>
      <c r="O31" s="115" t="s">
        <v>21</v>
      </c>
      <c r="P31" s="116">
        <f>$F$67</f>
        <v>2</v>
      </c>
      <c r="Q31" s="115" t="s">
        <v>21</v>
      </c>
      <c r="R31" s="116">
        <f>$F$67</f>
        <v>2</v>
      </c>
      <c r="S31" s="453"/>
      <c r="T31" s="453"/>
      <c r="U31" s="454"/>
    </row>
    <row r="32" spans="1:21" ht="34.5" customHeight="1">
      <c r="A32" s="430"/>
      <c r="B32" s="621" t="s">
        <v>56</v>
      </c>
      <c r="C32" s="622"/>
      <c r="D32" s="622"/>
      <c r="E32" s="622"/>
      <c r="F32" s="622"/>
      <c r="G32" s="622"/>
      <c r="H32" s="623"/>
      <c r="I32" s="626" t="str">
        <f>C70</f>
        <v>Tiempo menor o igual al requerido</v>
      </c>
      <c r="J32" s="627"/>
      <c r="K32" s="626" t="s">
        <v>45</v>
      </c>
      <c r="L32" s="753"/>
      <c r="M32" s="626" t="s">
        <v>45</v>
      </c>
      <c r="N32" s="627"/>
      <c r="O32" s="753" t="s">
        <v>45</v>
      </c>
      <c r="P32" s="627"/>
      <c r="Q32" s="626" t="s">
        <v>45</v>
      </c>
      <c r="R32" s="627"/>
      <c r="S32" s="453"/>
      <c r="T32" s="453"/>
      <c r="U32" s="454"/>
    </row>
    <row r="33" spans="1:21" ht="34.5" customHeight="1">
      <c r="A33" s="430"/>
      <c r="B33" s="621"/>
      <c r="C33" s="622"/>
      <c r="D33" s="622"/>
      <c r="E33" s="622"/>
      <c r="F33" s="622"/>
      <c r="G33" s="622"/>
      <c r="H33" s="623"/>
      <c r="I33" s="51" t="s">
        <v>21</v>
      </c>
      <c r="J33" s="118">
        <f>$F$70</f>
        <v>2</v>
      </c>
      <c r="K33" s="253" t="s">
        <v>21</v>
      </c>
      <c r="L33" s="253">
        <f>$F$70</f>
        <v>2</v>
      </c>
      <c r="M33" s="540" t="s">
        <v>21</v>
      </c>
      <c r="N33" s="118">
        <f>$F$70</f>
        <v>2</v>
      </c>
      <c r="O33" s="49" t="s">
        <v>21</v>
      </c>
      <c r="P33" s="118">
        <f>$F$70</f>
        <v>2</v>
      </c>
      <c r="Q33" s="51" t="s">
        <v>21</v>
      </c>
      <c r="R33" s="118">
        <f>$F$70</f>
        <v>2</v>
      </c>
      <c r="S33" s="453"/>
      <c r="T33" s="453"/>
      <c r="U33" s="454"/>
    </row>
    <row r="34" spans="1:21" ht="34.5" customHeight="1">
      <c r="A34" s="430"/>
      <c r="B34" s="628" t="s">
        <v>57</v>
      </c>
      <c r="C34" s="629"/>
      <c r="D34" s="629"/>
      <c r="E34" s="629"/>
      <c r="F34" s="629"/>
      <c r="G34" s="629"/>
      <c r="H34" s="629"/>
      <c r="I34" s="634" t="str">
        <f>C74</f>
        <v>Medio</v>
      </c>
      <c r="J34" s="635"/>
      <c r="K34" s="634" t="str">
        <f>C73</f>
        <v>Excelente</v>
      </c>
      <c r="L34" s="751"/>
      <c r="M34" s="634" t="str">
        <f>C73</f>
        <v>Excelente</v>
      </c>
      <c r="N34" s="635"/>
      <c r="O34" s="751" t="str">
        <f>C74</f>
        <v>Medio</v>
      </c>
      <c r="P34" s="635"/>
      <c r="Q34" s="634" t="str">
        <f>C74</f>
        <v>Medio</v>
      </c>
      <c r="R34" s="635"/>
      <c r="S34" s="453"/>
      <c r="T34" s="453"/>
      <c r="U34" s="454"/>
    </row>
    <row r="35" spans="1:21" ht="34.5" customHeight="1" thickBot="1">
      <c r="A35" s="430"/>
      <c r="B35" s="630"/>
      <c r="C35" s="631"/>
      <c r="D35" s="631"/>
      <c r="E35" s="631"/>
      <c r="F35" s="631"/>
      <c r="G35" s="631"/>
      <c r="H35" s="631"/>
      <c r="I35" s="254" t="s">
        <v>21</v>
      </c>
      <c r="J35" s="123">
        <f>IF(I34=$C$73,$F$73,IF(I34=$C$74,$F$74,0))</f>
        <v>0</v>
      </c>
      <c r="K35" s="255" t="s">
        <v>21</v>
      </c>
      <c r="L35" s="255">
        <f>IF(K34=$C$73,$F$73,IF(K34=$C$74,$F$74,0))</f>
        <v>2</v>
      </c>
      <c r="M35" s="541" t="s">
        <v>21</v>
      </c>
      <c r="N35" s="542">
        <f>IF(M34=$C$73,$F$73,IF(M34=$C$74,$F$74,0))</f>
        <v>2</v>
      </c>
      <c r="O35" s="124" t="s">
        <v>21</v>
      </c>
      <c r="P35" s="123">
        <f>IF(O34=$C$73,$F$73,IF(O34=$C$74,$F$74,0))</f>
        <v>0</v>
      </c>
      <c r="Q35" s="124" t="s">
        <v>21</v>
      </c>
      <c r="R35" s="125">
        <f>IF(Q34=$C$73,$F$73,IF(Q34=$C$74,$F$74,0))</f>
        <v>0</v>
      </c>
      <c r="S35" s="453"/>
      <c r="T35" s="453"/>
      <c r="U35" s="454"/>
    </row>
    <row r="36" spans="1:21" ht="34.5" customHeight="1" thickBot="1">
      <c r="A36" s="430"/>
      <c r="B36" s="119"/>
      <c r="C36" s="120"/>
      <c r="D36" s="120"/>
      <c r="E36" s="120"/>
      <c r="F36" s="120"/>
      <c r="G36" s="120"/>
      <c r="H36" s="120"/>
      <c r="I36" s="256"/>
      <c r="J36" s="134"/>
      <c r="K36" s="257"/>
      <c r="L36" s="257"/>
      <c r="M36" s="543"/>
      <c r="N36" s="134"/>
      <c r="O36" s="135"/>
      <c r="P36" s="134"/>
      <c r="Q36" s="135"/>
      <c r="R36" s="136"/>
      <c r="S36" s="453"/>
      <c r="T36" s="453"/>
      <c r="U36" s="454"/>
    </row>
    <row r="37" spans="1:21" ht="34.5" customHeight="1" thickBot="1">
      <c r="A37" s="430"/>
      <c r="B37" s="119"/>
      <c r="C37" s="120"/>
      <c r="D37" s="120"/>
      <c r="E37" s="120"/>
      <c r="F37" s="120"/>
      <c r="G37" s="120"/>
      <c r="H37" s="120"/>
      <c r="I37" s="256"/>
      <c r="J37" s="134"/>
      <c r="K37" s="257"/>
      <c r="L37" s="257"/>
      <c r="M37" s="544"/>
      <c r="N37" s="527"/>
      <c r="O37" s="135"/>
      <c r="P37" s="134"/>
      <c r="Q37" s="135"/>
      <c r="R37" s="136"/>
      <c r="S37" s="453"/>
      <c r="T37" s="453"/>
      <c r="U37" s="454"/>
    </row>
    <row r="38" spans="1:21" ht="34.5" customHeight="1" thickBot="1">
      <c r="A38" s="430"/>
      <c r="B38" s="636" t="s">
        <v>62</v>
      </c>
      <c r="C38" s="637"/>
      <c r="D38" s="637"/>
      <c r="E38" s="637"/>
      <c r="F38" s="637"/>
      <c r="G38" s="637"/>
      <c r="H38" s="637"/>
      <c r="I38" s="127"/>
      <c r="J38" s="131">
        <f>J21+J23+J25+J31+J33+J35</f>
        <v>6</v>
      </c>
      <c r="K38" s="128"/>
      <c r="L38" s="128">
        <f>L21+L23+L25+L31+L33+L35</f>
        <v>8</v>
      </c>
      <c r="M38" s="128"/>
      <c r="N38" s="128">
        <f>N21+N23+N25+N31+N33+N35</f>
        <v>10</v>
      </c>
      <c r="O38" s="129"/>
      <c r="P38" s="132">
        <f>P21+P23+P25+P31+P33+P35</f>
        <v>10</v>
      </c>
      <c r="Q38" s="130"/>
      <c r="R38" s="142">
        <f>R21+R23+R25+R31+R33+R35</f>
        <v>6</v>
      </c>
      <c r="S38" s="453"/>
      <c r="T38" s="453"/>
      <c r="U38" s="454"/>
    </row>
    <row r="39" spans="1:21" ht="34.5" customHeight="1" thickBot="1">
      <c r="A39" s="430"/>
      <c r="B39" s="620" t="s">
        <v>61</v>
      </c>
      <c r="C39" s="620"/>
      <c r="D39" s="620"/>
      <c r="E39" s="620"/>
      <c r="F39" s="620"/>
      <c r="G39" s="620"/>
      <c r="H39" s="620"/>
      <c r="I39" s="131"/>
      <c r="J39" s="128">
        <v>10</v>
      </c>
      <c r="K39" s="128"/>
      <c r="L39" s="128">
        <v>10</v>
      </c>
      <c r="M39" s="128"/>
      <c r="N39" s="128">
        <v>10</v>
      </c>
      <c r="O39" s="131"/>
      <c r="P39" s="128">
        <v>10</v>
      </c>
      <c r="Q39" s="138"/>
      <c r="R39" s="140">
        <v>10</v>
      </c>
      <c r="S39" s="453"/>
      <c r="T39" s="453"/>
      <c r="U39" s="454"/>
    </row>
    <row r="40" spans="1:21" ht="34.5" customHeight="1" thickBot="1">
      <c r="A40" s="430"/>
      <c r="B40" s="616" t="s">
        <v>63</v>
      </c>
      <c r="C40" s="616"/>
      <c r="D40" s="616"/>
      <c r="E40" s="616"/>
      <c r="F40" s="616"/>
      <c r="G40" s="616"/>
      <c r="H40" s="616"/>
      <c r="I40" s="258"/>
      <c r="J40" s="145">
        <f>J38+J39</f>
        <v>16</v>
      </c>
      <c r="K40" s="259"/>
      <c r="L40" s="145">
        <f>L38+L39</f>
        <v>18</v>
      </c>
      <c r="M40" s="545"/>
      <c r="N40" s="145">
        <f>N38+N39</f>
        <v>20</v>
      </c>
      <c r="O40" s="260"/>
      <c r="P40" s="145">
        <f>P38+P39</f>
        <v>20</v>
      </c>
      <c r="Q40" s="261"/>
      <c r="R40" s="144">
        <f>R38+R39</f>
        <v>16</v>
      </c>
      <c r="S40" s="453"/>
      <c r="T40" s="453"/>
      <c r="U40" s="454"/>
    </row>
    <row r="41" spans="1:21" ht="34.5" customHeight="1">
      <c r="A41" s="430"/>
      <c r="B41" s="546"/>
      <c r="C41" s="547"/>
      <c r="D41" s="547"/>
      <c r="E41" s="547"/>
      <c r="F41" s="547"/>
      <c r="G41" s="547"/>
      <c r="H41" s="548"/>
      <c r="I41" s="505"/>
      <c r="J41" s="506"/>
      <c r="K41" s="505"/>
      <c r="L41" s="506"/>
      <c r="M41" s="549"/>
      <c r="N41" s="506"/>
      <c r="O41" s="506"/>
      <c r="P41" s="506"/>
      <c r="Q41" s="550"/>
      <c r="R41" s="551"/>
      <c r="S41" s="453"/>
      <c r="T41" s="453"/>
      <c r="U41" s="454"/>
    </row>
    <row r="42" spans="1:21" ht="34.5" customHeight="1">
      <c r="A42" s="430"/>
      <c r="B42" s="546"/>
      <c r="C42" s="547"/>
      <c r="D42" s="547"/>
      <c r="E42" s="547"/>
      <c r="F42" s="547"/>
      <c r="G42" s="547"/>
      <c r="H42" s="548"/>
      <c r="I42" s="505"/>
      <c r="J42" s="506"/>
      <c r="K42" s="505"/>
      <c r="L42" s="506"/>
      <c r="M42" s="549"/>
      <c r="N42" s="506"/>
      <c r="O42" s="506"/>
      <c r="P42" s="506"/>
      <c r="Q42" s="550"/>
      <c r="R42" s="551"/>
      <c r="S42" s="453"/>
      <c r="T42" s="453"/>
      <c r="U42" s="454"/>
    </row>
    <row r="43" spans="1:21" ht="34.5" customHeight="1">
      <c r="A43" s="430"/>
      <c r="B43" s="546"/>
      <c r="C43" s="547"/>
      <c r="D43" s="547"/>
      <c r="E43" s="547"/>
      <c r="F43" s="547"/>
      <c r="G43" s="547"/>
      <c r="H43" s="548"/>
      <c r="I43" s="505"/>
      <c r="J43" s="506"/>
      <c r="K43" s="505"/>
      <c r="L43" s="506"/>
      <c r="M43" s="549"/>
      <c r="N43" s="506"/>
      <c r="O43" s="506"/>
      <c r="P43" s="506"/>
      <c r="Q43" s="550"/>
      <c r="R43" s="551"/>
      <c r="S43" s="453"/>
      <c r="T43" s="453"/>
      <c r="U43" s="454"/>
    </row>
    <row r="44" spans="1:21" ht="24.95" customHeight="1">
      <c r="B44" s="813" t="s">
        <v>170</v>
      </c>
      <c r="C44" s="814"/>
      <c r="D44" s="814"/>
      <c r="E44" s="814"/>
      <c r="F44" s="814"/>
      <c r="G44" s="814"/>
      <c r="H44" s="815"/>
      <c r="I44" s="816"/>
      <c r="J44" s="817"/>
      <c r="K44" s="816"/>
      <c r="L44" s="817"/>
      <c r="M44" s="455"/>
      <c r="N44" s="455"/>
      <c r="O44" s="817"/>
      <c r="P44" s="817"/>
      <c r="Q44" s="818"/>
      <c r="R44" s="819"/>
      <c r="S44" s="448"/>
      <c r="T44" s="448"/>
      <c r="U44" s="448"/>
    </row>
    <row r="45" spans="1:21" ht="66" customHeight="1">
      <c r="B45" s="801" t="s">
        <v>171</v>
      </c>
      <c r="C45" s="802"/>
      <c r="D45" s="802"/>
      <c r="E45" s="802"/>
      <c r="F45" s="802"/>
      <c r="G45" s="802"/>
      <c r="H45" s="803"/>
      <c r="I45" s="804"/>
      <c r="J45" s="805"/>
      <c r="K45" s="804"/>
      <c r="L45" s="805"/>
      <c r="M45" s="456"/>
      <c r="N45" s="456"/>
      <c r="O45" s="806"/>
      <c r="P45" s="807"/>
      <c r="Q45" s="806"/>
      <c r="R45" s="807"/>
      <c r="S45" s="454"/>
      <c r="T45" s="454"/>
      <c r="U45" s="454"/>
    </row>
    <row r="46" spans="1:21" ht="45" customHeight="1">
      <c r="B46" s="801" t="s">
        <v>56</v>
      </c>
      <c r="C46" s="802"/>
      <c r="D46" s="802"/>
      <c r="E46" s="802"/>
      <c r="F46" s="802"/>
      <c r="G46" s="802"/>
      <c r="H46" s="808"/>
      <c r="I46" s="809"/>
      <c r="J46" s="807"/>
      <c r="K46" s="809"/>
      <c r="L46" s="807"/>
      <c r="M46" s="457"/>
      <c r="N46" s="457"/>
      <c r="O46" s="806"/>
      <c r="P46" s="807"/>
      <c r="Q46" s="806"/>
      <c r="R46" s="807"/>
      <c r="S46" s="445"/>
      <c r="T46" s="445"/>
      <c r="U46" s="445"/>
    </row>
    <row r="47" spans="1:21" ht="24.95" customHeight="1" thickBot="1">
      <c r="B47" s="798" t="s">
        <v>172</v>
      </c>
      <c r="C47" s="799"/>
      <c r="D47" s="799"/>
      <c r="E47" s="799"/>
      <c r="F47" s="799"/>
      <c r="G47" s="799"/>
      <c r="H47" s="800"/>
      <c r="I47" s="789" t="s">
        <v>173</v>
      </c>
      <c r="J47" s="786"/>
      <c r="K47" s="789" t="s">
        <v>173</v>
      </c>
      <c r="L47" s="786"/>
      <c r="M47" s="458"/>
      <c r="N47" s="458"/>
      <c r="O47" s="785"/>
      <c r="P47" s="786"/>
      <c r="Q47" s="785"/>
      <c r="R47" s="786"/>
      <c r="S47" s="445"/>
      <c r="T47" s="445"/>
      <c r="U47" s="445"/>
    </row>
    <row r="48" spans="1:21" ht="24.95" customHeight="1">
      <c r="B48" s="793" t="s">
        <v>174</v>
      </c>
      <c r="C48" s="793"/>
      <c r="D48" s="793"/>
      <c r="E48" s="793"/>
      <c r="F48" s="793"/>
      <c r="G48" s="793"/>
      <c r="H48" s="793"/>
      <c r="I48" s="794"/>
      <c r="J48" s="794"/>
      <c r="K48" s="794"/>
      <c r="L48" s="794"/>
      <c r="M48" s="794"/>
      <c r="N48" s="794"/>
      <c r="O48" s="794"/>
      <c r="P48" s="794"/>
      <c r="Q48" s="393"/>
      <c r="R48" s="393"/>
      <c r="S48" s="397"/>
      <c r="T48" s="397"/>
      <c r="U48" s="397"/>
    </row>
    <row r="49" spans="1:21" ht="24.95" customHeight="1">
      <c r="B49" s="459"/>
      <c r="C49" s="460" t="s">
        <v>24</v>
      </c>
      <c r="D49" s="461"/>
      <c r="E49" s="460" t="s">
        <v>25</v>
      </c>
      <c r="F49" s="461"/>
      <c r="G49" s="459"/>
      <c r="H49" s="459"/>
      <c r="I49" s="459"/>
      <c r="J49" s="459"/>
      <c r="K49" s="462" t="str">
        <f>IF($H$15&gt;(3000*$K$54),"COORDINADOR DE PROYECTOS","")</f>
        <v>COORDINADOR DE PROYECTOS</v>
      </c>
      <c r="L49" s="459"/>
      <c r="M49" s="459"/>
      <c r="N49" s="459"/>
      <c r="O49" s="459"/>
      <c r="P49" s="463" t="str">
        <f>IF($H$15&gt;(7500*$K$54),"GERENTE TÉCNICO","")</f>
        <v>GERENTE TÉCNICO</v>
      </c>
      <c r="Q49" s="463"/>
      <c r="R49" s="464"/>
      <c r="S49" s="465"/>
      <c r="T49" s="465"/>
      <c r="U49" s="465"/>
    </row>
    <row r="50" spans="1:21" ht="24.95" customHeight="1">
      <c r="B50" s="393"/>
      <c r="C50" s="389"/>
      <c r="D50" s="393"/>
      <c r="E50" s="396" t="s">
        <v>4</v>
      </c>
      <c r="F50" s="393"/>
      <c r="G50" s="393"/>
      <c r="H50" s="393"/>
      <c r="I50" s="393"/>
      <c r="J50" s="393"/>
      <c r="K50" s="393" t="str">
        <f>IF(K49&lt;&gt;"","FECHA:","")</f>
        <v>FECHA:</v>
      </c>
      <c r="L50" s="393"/>
      <c r="M50" s="393"/>
      <c r="N50" s="393"/>
      <c r="O50" s="393"/>
      <c r="P50" s="396" t="str">
        <f>IF(P49&lt;&gt;"","FECHA:","")</f>
        <v>FECHA:</v>
      </c>
      <c r="Q50" s="396"/>
      <c r="R50" s="396"/>
      <c r="S50" s="466"/>
      <c r="T50" s="466"/>
      <c r="U50" s="466"/>
    </row>
    <row r="51" spans="1:21" ht="24.95" customHeight="1">
      <c r="B51" s="467"/>
      <c r="C51" s="467"/>
      <c r="M51" s="468">
        <f>104/26</f>
        <v>4</v>
      </c>
    </row>
    <row r="52" spans="1:21" ht="24.95" customHeight="1">
      <c r="Q52" s="468"/>
    </row>
    <row r="53" spans="1:21" ht="24.95" customHeight="1">
      <c r="C53" s="795" t="s">
        <v>26</v>
      </c>
      <c r="D53" s="796"/>
      <c r="E53" s="797"/>
      <c r="F53" s="469" t="s">
        <v>27</v>
      </c>
      <c r="H53" s="470" t="s">
        <v>28</v>
      </c>
      <c r="I53" s="470"/>
      <c r="J53" s="470"/>
      <c r="K53" s="471">
        <f ca="1">TODAY()</f>
        <v>46233</v>
      </c>
      <c r="L53" s="397"/>
      <c r="M53" s="397"/>
      <c r="N53" s="397"/>
      <c r="O53" s="472">
        <f>50*61</f>
        <v>3050</v>
      </c>
      <c r="P53" s="473"/>
      <c r="Q53" s="474">
        <f>1461.6/16.8</f>
        <v>86.999999999999986</v>
      </c>
      <c r="R53" s="473"/>
      <c r="S53" s="397"/>
      <c r="T53" s="397"/>
      <c r="U53" s="397"/>
    </row>
    <row r="54" spans="1:21" ht="24.95" customHeight="1">
      <c r="C54" s="787" t="s">
        <v>29</v>
      </c>
      <c r="D54" s="788"/>
      <c r="E54" s="788"/>
      <c r="F54" s="475"/>
      <c r="H54" s="476" t="s">
        <v>30</v>
      </c>
      <c r="I54" s="476"/>
      <c r="J54" s="476"/>
      <c r="K54" s="477"/>
    </row>
    <row r="55" spans="1:21" ht="24.95" customHeight="1">
      <c r="B55" s="430"/>
      <c r="C55" s="478" t="s">
        <v>31</v>
      </c>
      <c r="D55" s="479"/>
      <c r="E55" s="480"/>
      <c r="F55" s="481">
        <v>2</v>
      </c>
    </row>
    <row r="56" spans="1:21" ht="24.95" customHeight="1">
      <c r="B56" s="430"/>
      <c r="C56" s="482" t="s">
        <v>32</v>
      </c>
      <c r="D56" s="483"/>
      <c r="E56" s="484"/>
      <c r="F56" s="485">
        <v>0</v>
      </c>
      <c r="H56" s="486"/>
      <c r="I56" s="486"/>
      <c r="J56" s="486"/>
      <c r="K56" s="487"/>
      <c r="L56" s="488"/>
      <c r="M56" s="488"/>
      <c r="N56" s="488"/>
    </row>
    <row r="57" spans="1:21" ht="24.95" customHeight="1">
      <c r="C57" s="787" t="s">
        <v>33</v>
      </c>
      <c r="D57" s="788"/>
      <c r="E57" s="788"/>
      <c r="F57" s="475"/>
      <c r="K57" s="487"/>
      <c r="L57" s="488"/>
      <c r="M57" s="488"/>
      <c r="N57" s="488"/>
    </row>
    <row r="58" spans="1:21" ht="24.95" customHeight="1">
      <c r="B58" s="430"/>
      <c r="C58" s="478" t="s">
        <v>34</v>
      </c>
      <c r="D58" s="479"/>
      <c r="E58" s="480"/>
      <c r="F58" s="481">
        <v>2</v>
      </c>
    </row>
    <row r="59" spans="1:21" ht="24.95" customHeight="1">
      <c r="B59" s="430"/>
      <c r="C59" s="482" t="s">
        <v>35</v>
      </c>
      <c r="D59" s="483"/>
      <c r="E59" s="484"/>
      <c r="F59" s="485">
        <v>0</v>
      </c>
    </row>
    <row r="60" spans="1:21" ht="24.95" customHeight="1">
      <c r="A60" s="397"/>
      <c r="C60" s="787" t="s">
        <v>36</v>
      </c>
      <c r="D60" s="788"/>
      <c r="E60" s="788"/>
      <c r="F60" s="475"/>
    </row>
    <row r="61" spans="1:21" ht="24.95" customHeight="1">
      <c r="C61" s="482" t="s">
        <v>37</v>
      </c>
      <c r="D61" s="483"/>
      <c r="E61" s="484"/>
      <c r="F61" s="485">
        <v>3</v>
      </c>
      <c r="H61" s="397"/>
      <c r="I61" s="397"/>
      <c r="J61" s="397"/>
    </row>
    <row r="62" spans="1:21" ht="24.95" customHeight="1">
      <c r="C62" s="482" t="s">
        <v>38</v>
      </c>
      <c r="D62" s="483"/>
      <c r="E62" s="484"/>
      <c r="F62" s="485">
        <v>2</v>
      </c>
      <c r="H62" s="397"/>
      <c r="I62" s="397"/>
      <c r="J62" s="397"/>
    </row>
    <row r="63" spans="1:21" ht="24.95" customHeight="1">
      <c r="C63" s="482" t="s">
        <v>39</v>
      </c>
      <c r="D63" s="483"/>
      <c r="E63" s="484"/>
      <c r="F63" s="485">
        <v>1</v>
      </c>
      <c r="H63" s="397"/>
      <c r="I63" s="397"/>
      <c r="J63" s="397"/>
    </row>
    <row r="64" spans="1:21" ht="24.95" customHeight="1">
      <c r="C64" s="482" t="s">
        <v>100</v>
      </c>
      <c r="D64" s="483"/>
      <c r="E64" s="484"/>
      <c r="F64" s="485">
        <v>0</v>
      </c>
      <c r="H64" s="397"/>
      <c r="I64" s="397"/>
      <c r="J64" s="397"/>
    </row>
    <row r="65" spans="2:10" ht="24.95" customHeight="1">
      <c r="C65" s="787" t="s">
        <v>40</v>
      </c>
      <c r="D65" s="788"/>
      <c r="E65" s="788"/>
      <c r="F65" s="475"/>
    </row>
    <row r="66" spans="2:10" ht="24.95" customHeight="1">
      <c r="C66" s="489" t="s">
        <v>42</v>
      </c>
      <c r="D66" s="483"/>
      <c r="E66" s="484"/>
      <c r="F66" s="485">
        <v>3</v>
      </c>
    </row>
    <row r="67" spans="2:10" ht="24.95" customHeight="1">
      <c r="C67" s="489" t="s">
        <v>43</v>
      </c>
      <c r="D67" s="483"/>
      <c r="E67" s="484"/>
      <c r="F67" s="485">
        <v>2</v>
      </c>
    </row>
    <row r="68" spans="2:10" ht="24.95" customHeight="1">
      <c r="C68" s="489" t="s">
        <v>55</v>
      </c>
      <c r="D68" s="483"/>
      <c r="E68" s="484"/>
      <c r="F68" s="485">
        <v>1</v>
      </c>
    </row>
    <row r="69" spans="2:10" ht="24.95" customHeight="1">
      <c r="C69" s="787" t="s">
        <v>44</v>
      </c>
      <c r="D69" s="788"/>
      <c r="E69" s="788"/>
      <c r="F69" s="475"/>
    </row>
    <row r="70" spans="2:10" ht="24.95" customHeight="1">
      <c r="C70" s="482" t="s">
        <v>45</v>
      </c>
      <c r="D70" s="483"/>
      <c r="E70" s="484"/>
      <c r="F70" s="485">
        <v>2</v>
      </c>
    </row>
    <row r="71" spans="2:10" ht="24.95" customHeight="1">
      <c r="C71" s="482" t="s">
        <v>46</v>
      </c>
      <c r="D71" s="483"/>
      <c r="E71" s="484"/>
      <c r="F71" s="485">
        <v>0</v>
      </c>
    </row>
    <row r="72" spans="2:10" ht="24.95" customHeight="1">
      <c r="C72" s="610" t="s">
        <v>58</v>
      </c>
      <c r="D72" s="611"/>
      <c r="E72" s="611"/>
      <c r="F72" s="612"/>
    </row>
    <row r="73" spans="2:10" ht="24.95" customHeight="1">
      <c r="C73" s="57" t="s">
        <v>59</v>
      </c>
      <c r="D73" s="58"/>
      <c r="E73" s="59"/>
      <c r="F73" s="60">
        <v>2</v>
      </c>
    </row>
    <row r="74" spans="2:10" ht="24.95" customHeight="1">
      <c r="C74" s="57" t="s">
        <v>60</v>
      </c>
      <c r="D74" s="58"/>
      <c r="E74" s="59"/>
      <c r="F74" s="60">
        <v>0</v>
      </c>
    </row>
    <row r="75" spans="2:10" ht="24.95" customHeight="1">
      <c r="C75" s="790" t="s">
        <v>47</v>
      </c>
      <c r="D75" s="791"/>
      <c r="E75" s="792"/>
      <c r="F75" s="490" t="s">
        <v>48</v>
      </c>
    </row>
    <row r="76" spans="2:10" ht="24.95" customHeight="1">
      <c r="B76" s="397"/>
      <c r="C76" s="491"/>
      <c r="D76" s="491"/>
      <c r="E76" s="491" t="s">
        <v>15</v>
      </c>
      <c r="F76" s="492">
        <f>10+F55+F58+F61+F66+F70+F73</f>
        <v>24</v>
      </c>
      <c r="H76" s="397"/>
      <c r="I76" s="397"/>
      <c r="J76" s="397"/>
    </row>
    <row r="77" spans="2:10" ht="20.100000000000001" customHeight="1"/>
  </sheetData>
  <mergeCells count="113">
    <mergeCell ref="I34:J34"/>
    <mergeCell ref="K34:L34"/>
    <mergeCell ref="M34:N34"/>
    <mergeCell ref="O34:P34"/>
    <mergeCell ref="Q34:R34"/>
    <mergeCell ref="M32:N32"/>
    <mergeCell ref="B24:H29"/>
    <mergeCell ref="B30:H31"/>
    <mergeCell ref="B32:H33"/>
    <mergeCell ref="K24:L24"/>
    <mergeCell ref="O24:P24"/>
    <mergeCell ref="Q24:R24"/>
    <mergeCell ref="I30:J30"/>
    <mergeCell ref="K30:L30"/>
    <mergeCell ref="M30:N30"/>
    <mergeCell ref="O30:P30"/>
    <mergeCell ref="Q30:R30"/>
    <mergeCell ref="M24:N24"/>
    <mergeCell ref="K32:L32"/>
    <mergeCell ref="O32:P32"/>
    <mergeCell ref="Q32:R32"/>
    <mergeCell ref="V7:AA7"/>
    <mergeCell ref="I7:J7"/>
    <mergeCell ref="B5:C5"/>
    <mergeCell ref="D5:G5"/>
    <mergeCell ref="A1:V1"/>
    <mergeCell ref="B3:C3"/>
    <mergeCell ref="D3:G3"/>
    <mergeCell ref="B4:C4"/>
    <mergeCell ref="D4:G4"/>
    <mergeCell ref="B7:H7"/>
    <mergeCell ref="K7:L7"/>
    <mergeCell ref="M7:N7"/>
    <mergeCell ref="O7:P7"/>
    <mergeCell ref="Q7:R7"/>
    <mergeCell ref="I6:AA6"/>
    <mergeCell ref="Z8:AA8"/>
    <mergeCell ref="A9:A12"/>
    <mergeCell ref="C9:D9"/>
    <mergeCell ref="C10:D10"/>
    <mergeCell ref="C11:D11"/>
    <mergeCell ref="C12:D12"/>
    <mergeCell ref="O14:P14"/>
    <mergeCell ref="C8:D8"/>
    <mergeCell ref="T8:U8"/>
    <mergeCell ref="V8:W8"/>
    <mergeCell ref="X8:Y8"/>
    <mergeCell ref="A13:A14"/>
    <mergeCell ref="B13:G13"/>
    <mergeCell ref="B14:G14"/>
    <mergeCell ref="K14:L14"/>
    <mergeCell ref="M14:N14"/>
    <mergeCell ref="I14:J14"/>
    <mergeCell ref="A15:A18"/>
    <mergeCell ref="B15:G15"/>
    <mergeCell ref="K15:L15"/>
    <mergeCell ref="M15:N15"/>
    <mergeCell ref="O15:P15"/>
    <mergeCell ref="B16:H17"/>
    <mergeCell ref="K16:L16"/>
    <mergeCell ref="M16:N16"/>
    <mergeCell ref="O16:P16"/>
    <mergeCell ref="B18:H18"/>
    <mergeCell ref="I15:J15"/>
    <mergeCell ref="I16:J16"/>
    <mergeCell ref="M19:N19"/>
    <mergeCell ref="O19:P19"/>
    <mergeCell ref="Q19:R19"/>
    <mergeCell ref="B44:H44"/>
    <mergeCell ref="K44:L44"/>
    <mergeCell ref="O44:P44"/>
    <mergeCell ref="Q44:R44"/>
    <mergeCell ref="K20:L20"/>
    <mergeCell ref="O20:P20"/>
    <mergeCell ref="Q20:R20"/>
    <mergeCell ref="B19:H19"/>
    <mergeCell ref="K19:L19"/>
    <mergeCell ref="I19:J19"/>
    <mergeCell ref="I20:J20"/>
    <mergeCell ref="I44:J44"/>
    <mergeCell ref="M20:N20"/>
    <mergeCell ref="B34:H35"/>
    <mergeCell ref="B38:H38"/>
    <mergeCell ref="B39:H39"/>
    <mergeCell ref="B40:H40"/>
    <mergeCell ref="I24:J24"/>
    <mergeCell ref="I32:J32"/>
    <mergeCell ref="B20:H21"/>
    <mergeCell ref="B22:H23"/>
    <mergeCell ref="B45:H45"/>
    <mergeCell ref="K45:L45"/>
    <mergeCell ref="O45:P45"/>
    <mergeCell ref="Q45:R45"/>
    <mergeCell ref="B46:H46"/>
    <mergeCell ref="K46:L46"/>
    <mergeCell ref="O46:P46"/>
    <mergeCell ref="Q46:R46"/>
    <mergeCell ref="I45:J45"/>
    <mergeCell ref="I46:J46"/>
    <mergeCell ref="Q47:R47"/>
    <mergeCell ref="C69:E69"/>
    <mergeCell ref="I47:J47"/>
    <mergeCell ref="C72:F72"/>
    <mergeCell ref="C75:E75"/>
    <mergeCell ref="B48:P48"/>
    <mergeCell ref="C53:E53"/>
    <mergeCell ref="C54:E54"/>
    <mergeCell ref="C57:E57"/>
    <mergeCell ref="C60:E60"/>
    <mergeCell ref="C65:E65"/>
    <mergeCell ref="B47:H47"/>
    <mergeCell ref="K47:L47"/>
    <mergeCell ref="O47:P47"/>
  </mergeCells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CBC4-21E3-42E5-A73E-0BBD838E5258}">
  <sheetPr>
    <tabColor theme="0" tint="-4.9989318521683403E-2"/>
  </sheetPr>
  <dimension ref="A1:AK78"/>
  <sheetViews>
    <sheetView topLeftCell="E3" zoomScale="50" zoomScaleNormal="50" workbookViewId="0">
      <pane ySplit="5" topLeftCell="A11" activePane="bottomLeft" state="frozen"/>
      <selection activeCell="G3" sqref="G3"/>
      <selection pane="bottomLeft" activeCell="Q28" sqref="Q28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86.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4" width="25.625" style="5" customWidth="1"/>
    <col min="15" max="15" width="22.5" style="5" customWidth="1"/>
    <col min="16" max="18" width="25" style="5" customWidth="1"/>
    <col min="19" max="19" width="22.5" style="5" customWidth="1"/>
    <col min="20" max="20" width="25.875" style="5" customWidth="1"/>
    <col min="21" max="21" width="22.5" style="5" customWidth="1"/>
    <col min="22" max="22" width="23.75" style="5" customWidth="1"/>
    <col min="23" max="23" width="22.5" style="5" customWidth="1"/>
    <col min="24" max="24" width="25" style="5" customWidth="1"/>
    <col min="25" max="25" width="22.5" style="5" customWidth="1"/>
    <col min="26" max="26" width="23.75" style="5" customWidth="1"/>
    <col min="27" max="27" width="22.5" style="5" customWidth="1"/>
    <col min="28" max="28" width="24.125" style="5" customWidth="1"/>
    <col min="29" max="30" width="22.5" style="5" customWidth="1"/>
    <col min="31" max="31" width="48.625" style="5" customWidth="1"/>
    <col min="32" max="37" width="20.625" style="5" customWidth="1"/>
    <col min="38" max="38" width="11.5" style="5" customWidth="1"/>
    <col min="39" max="16384" width="11.5" style="5"/>
  </cols>
  <sheetData>
    <row r="1" spans="1:37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7"/>
      <c r="AA1" s="687"/>
      <c r="AB1" s="687"/>
      <c r="AC1" s="687"/>
      <c r="AD1" s="687"/>
      <c r="AE1" s="687"/>
      <c r="AF1" s="867"/>
      <c r="AG1" s="1"/>
      <c r="AH1" s="1"/>
      <c r="AI1" s="2" t="s">
        <v>1</v>
      </c>
      <c r="AJ1" s="3">
        <v>0</v>
      </c>
      <c r="AK1" s="4">
        <f>AJ1+AK2</f>
        <v>1</v>
      </c>
    </row>
    <row r="2" spans="1:37" ht="20.25" customHeight="1" thickBot="1">
      <c r="AK2" s="20">
        <v>1</v>
      </c>
    </row>
    <row r="3" spans="1:37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46163</v>
      </c>
      <c r="J3" s="22"/>
      <c r="K3" s="21" t="s">
        <v>5</v>
      </c>
      <c r="L3" s="23">
        <v>1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 spans="1:37" ht="63" customHeight="1">
      <c r="A4" s="25"/>
      <c r="B4" s="690" t="s">
        <v>6</v>
      </c>
      <c r="C4" s="690"/>
      <c r="D4" s="691" t="s">
        <v>75</v>
      </c>
      <c r="E4" s="691"/>
      <c r="F4" s="691"/>
      <c r="G4" s="691"/>
      <c r="H4" s="22"/>
      <c r="I4" s="26"/>
      <c r="J4" s="81"/>
      <c r="K4" s="22"/>
      <c r="L4" s="22"/>
      <c r="M4" s="8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</row>
    <row r="5" spans="1:37" ht="18" customHeight="1" thickBo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7" ht="18" customHeight="1" thickBot="1">
      <c r="A6" s="6"/>
      <c r="B6" s="6"/>
      <c r="C6" s="6"/>
      <c r="D6" s="6"/>
      <c r="E6" s="6"/>
      <c r="F6" s="6"/>
      <c r="G6" s="6"/>
      <c r="H6" s="6"/>
      <c r="I6" s="868"/>
      <c r="J6" s="870"/>
      <c r="K6" s="870"/>
      <c r="L6" s="870"/>
      <c r="M6" s="870"/>
      <c r="N6" s="870"/>
      <c r="O6" s="870"/>
      <c r="P6" s="870"/>
      <c r="Q6" s="870"/>
      <c r="R6" s="870"/>
      <c r="S6" s="870"/>
      <c r="T6" s="870"/>
      <c r="U6" s="870"/>
      <c r="V6" s="870"/>
      <c r="W6" s="870"/>
      <c r="X6" s="870"/>
      <c r="Y6" s="870"/>
      <c r="Z6" s="870"/>
      <c r="AA6" s="870"/>
      <c r="AB6" s="870"/>
      <c r="AC6" s="870"/>
      <c r="AD6" s="870"/>
      <c r="AE6" s="870"/>
      <c r="AF6" s="870"/>
      <c r="AG6" s="870"/>
      <c r="AH6" s="870"/>
      <c r="AI6" s="870"/>
      <c r="AJ6" s="870"/>
      <c r="AK6" s="869"/>
    </row>
    <row r="7" spans="1:37" ht="62.25" customHeight="1" thickBot="1">
      <c r="B7" s="695" t="s">
        <v>8</v>
      </c>
      <c r="C7" s="696"/>
      <c r="D7" s="696"/>
      <c r="E7" s="696"/>
      <c r="F7" s="696"/>
      <c r="G7" s="696"/>
      <c r="H7" s="735"/>
      <c r="I7" s="875" t="s">
        <v>76</v>
      </c>
      <c r="J7" s="876"/>
      <c r="K7" s="871" t="s">
        <v>77</v>
      </c>
      <c r="L7" s="872"/>
      <c r="M7" s="871" t="s">
        <v>78</v>
      </c>
      <c r="N7" s="872"/>
      <c r="O7" s="871" t="s">
        <v>79</v>
      </c>
      <c r="P7" s="872"/>
      <c r="Q7" s="868" t="s">
        <v>184</v>
      </c>
      <c r="R7" s="869"/>
      <c r="S7" s="871" t="s">
        <v>80</v>
      </c>
      <c r="T7" s="872"/>
      <c r="U7" s="871" t="s">
        <v>81</v>
      </c>
      <c r="V7" s="872"/>
      <c r="W7" s="868" t="s">
        <v>82</v>
      </c>
      <c r="X7" s="869"/>
      <c r="Y7" s="871" t="s">
        <v>83</v>
      </c>
      <c r="Z7" s="872"/>
      <c r="AA7" s="868" t="s">
        <v>52</v>
      </c>
      <c r="AB7" s="869"/>
      <c r="AC7" s="27"/>
      <c r="AD7" s="27"/>
      <c r="AE7" s="27"/>
      <c r="AF7" s="870" t="s">
        <v>9</v>
      </c>
      <c r="AG7" s="870"/>
      <c r="AH7" s="870"/>
      <c r="AI7" s="870"/>
      <c r="AJ7" s="870"/>
      <c r="AK7" s="869"/>
    </row>
    <row r="8" spans="1:37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9" t="s">
        <v>15</v>
      </c>
      <c r="I8" s="162" t="s">
        <v>84</v>
      </c>
      <c r="J8" s="163" t="s">
        <v>15</v>
      </c>
      <c r="K8" s="18" t="s">
        <v>14</v>
      </c>
      <c r="L8" s="19" t="s">
        <v>15</v>
      </c>
      <c r="M8" s="18" t="s">
        <v>14</v>
      </c>
      <c r="N8" s="19" t="s">
        <v>15</v>
      </c>
      <c r="O8" s="18" t="s">
        <v>14</v>
      </c>
      <c r="P8" s="19" t="s">
        <v>15</v>
      </c>
      <c r="Q8" s="18" t="s">
        <v>14</v>
      </c>
      <c r="R8" s="19" t="s">
        <v>15</v>
      </c>
      <c r="S8" s="18" t="s">
        <v>14</v>
      </c>
      <c r="T8" s="19" t="s">
        <v>15</v>
      </c>
      <c r="U8" s="18" t="s">
        <v>14</v>
      </c>
      <c r="V8" s="19" t="s">
        <v>15</v>
      </c>
      <c r="W8" s="18" t="s">
        <v>14</v>
      </c>
      <c r="X8" s="19" t="s">
        <v>15</v>
      </c>
      <c r="Y8" s="18" t="s">
        <v>14</v>
      </c>
      <c r="Z8" s="19" t="s">
        <v>15</v>
      </c>
      <c r="AA8" s="158" t="s">
        <v>14</v>
      </c>
      <c r="AB8" s="159" t="s">
        <v>15</v>
      </c>
      <c r="AC8" s="27" t="s">
        <v>10</v>
      </c>
      <c r="AD8" s="871" t="s">
        <v>11</v>
      </c>
      <c r="AE8" s="872"/>
      <c r="AF8" s="871"/>
      <c r="AG8" s="873"/>
      <c r="AH8" s="871"/>
      <c r="AI8" s="872"/>
      <c r="AJ8" s="874"/>
      <c r="AK8" s="872"/>
    </row>
    <row r="9" spans="1:37" ht="45.75" customHeight="1">
      <c r="A9" s="679"/>
      <c r="B9" s="83">
        <v>1</v>
      </c>
      <c r="C9" s="882" t="s">
        <v>85</v>
      </c>
      <c r="D9" s="883"/>
      <c r="E9" s="84" t="s">
        <v>50</v>
      </c>
      <c r="F9" s="84">
        <v>2</v>
      </c>
      <c r="G9" s="164">
        <v>18145.29</v>
      </c>
      <c r="H9" s="86">
        <f t="shared" ref="H9:H23" si="0">F9*G9</f>
        <v>36290.58</v>
      </c>
      <c r="I9" s="165">
        <v>19034.221657281436</v>
      </c>
      <c r="J9" s="166">
        <f>F9*I9</f>
        <v>38068.443314562872</v>
      </c>
      <c r="K9" s="167">
        <v>25586.059799541268</v>
      </c>
      <c r="L9" s="16">
        <f>K9*F9</f>
        <v>51172.119599082536</v>
      </c>
      <c r="M9" s="17">
        <f>21712.32*1.18</f>
        <v>25620.5376</v>
      </c>
      <c r="N9" s="16">
        <f t="shared" ref="N9:N23" si="1">M9*F9</f>
        <v>51241.075199999999</v>
      </c>
      <c r="O9" s="90">
        <v>20502.719775429636</v>
      </c>
      <c r="P9" s="172">
        <f t="shared" ref="P9:P23" si="2">F9*O9</f>
        <v>41005.439550859272</v>
      </c>
      <c r="Q9" s="607"/>
      <c r="R9" s="495"/>
      <c r="S9" s="17">
        <f>(382.74*64)*1.018</f>
        <v>24936.27648</v>
      </c>
      <c r="T9" s="16">
        <f t="shared" ref="T9:T23" si="3">S9*F9</f>
        <v>49872.552960000001</v>
      </c>
      <c r="U9" s="17">
        <f>28444.032806694*1.18</f>
        <v>33563.958711898915</v>
      </c>
      <c r="V9" s="16">
        <f t="shared" ref="V9:V23" si="4">F9*U9</f>
        <v>67127.91742379783</v>
      </c>
      <c r="W9" s="17">
        <f>((407.27*64))*1.18</f>
        <v>30757.030399999996</v>
      </c>
      <c r="X9" s="16">
        <f t="shared" ref="X9:X23" si="5">W9*F9</f>
        <v>61514.060799999992</v>
      </c>
      <c r="Y9" s="17">
        <f>(30744/F9)*1.18</f>
        <v>18138.96</v>
      </c>
      <c r="Z9" s="16">
        <f t="shared" ref="Z9:Z23" si="6">Y9*F9</f>
        <v>36277.919999999998</v>
      </c>
      <c r="AA9" s="168">
        <f>((((2405.76 /8)+(40))*1.18)*64)+805</f>
        <v>26536.1744</v>
      </c>
      <c r="AB9" s="169">
        <f t="shared" ref="AB9:AB23" si="7">F9*AA9</f>
        <v>53072.3488</v>
      </c>
      <c r="AC9" s="30"/>
      <c r="AD9" s="33"/>
      <c r="AE9" s="34"/>
      <c r="AF9" s="31"/>
      <c r="AG9" s="32"/>
      <c r="AH9" s="35"/>
      <c r="AI9" s="36"/>
      <c r="AJ9" s="35"/>
      <c r="AK9" s="36"/>
    </row>
    <row r="10" spans="1:37" ht="48" customHeight="1">
      <c r="A10" s="679"/>
      <c r="B10" s="83">
        <v>2</v>
      </c>
      <c r="C10" s="884" t="s">
        <v>86</v>
      </c>
      <c r="D10" s="885"/>
      <c r="E10" s="84" t="s">
        <v>50</v>
      </c>
      <c r="F10" s="84">
        <v>2</v>
      </c>
      <c r="G10" s="164">
        <v>48069.61</v>
      </c>
      <c r="H10" s="85">
        <f t="shared" si="0"/>
        <v>96139.22</v>
      </c>
      <c r="I10" s="170">
        <v>44808.089305454901</v>
      </c>
      <c r="J10" s="171">
        <f t="shared" ref="J10:J23" si="8">F10*I10</f>
        <v>89616.178610909803</v>
      </c>
      <c r="K10" s="167">
        <v>54444.595983568768</v>
      </c>
      <c r="L10" s="16">
        <f t="shared" ref="L10:L23" si="9">K10*F10</f>
        <v>108889.19196713754</v>
      </c>
      <c r="M10" s="17">
        <f>47495.7*1.18</f>
        <v>56044.925999999992</v>
      </c>
      <c r="N10" s="16">
        <f t="shared" si="1"/>
        <v>112089.85199999998</v>
      </c>
      <c r="O10" s="90">
        <v>30699.562872505634</v>
      </c>
      <c r="P10" s="172">
        <f t="shared" si="2"/>
        <v>61399.125745011268</v>
      </c>
      <c r="Q10" s="607"/>
      <c r="R10" s="495"/>
      <c r="S10" s="17">
        <f>(988.52*64)*1.018</f>
        <v>64404.055039999999</v>
      </c>
      <c r="T10" s="16">
        <f t="shared" si="3"/>
        <v>128808.11008</v>
      </c>
      <c r="U10" s="17">
        <f>63989.9892378556*1.18</f>
        <v>75508.187300669611</v>
      </c>
      <c r="V10" s="16">
        <f t="shared" si="4"/>
        <v>151016.37460133922</v>
      </c>
      <c r="W10" s="17">
        <f>(697.74*64)*1.18</f>
        <v>52693.324799999995</v>
      </c>
      <c r="X10" s="16">
        <f t="shared" si="5"/>
        <v>105386.64959999999</v>
      </c>
      <c r="Y10" s="17">
        <f>(100430.4/F10)*1.18</f>
        <v>59253.935999999994</v>
      </c>
      <c r="Z10" s="16">
        <f t="shared" si="6"/>
        <v>118507.87199999999</v>
      </c>
      <c r="AA10" s="168">
        <f>((((43784.83/56)+40)*1.18)*64)+805</f>
        <v>62872.770742857138</v>
      </c>
      <c r="AB10" s="169">
        <f t="shared" si="7"/>
        <v>125745.54148571428</v>
      </c>
      <c r="AC10" s="30"/>
      <c r="AD10" s="33"/>
      <c r="AE10" s="34"/>
      <c r="AF10" s="31"/>
      <c r="AG10" s="32"/>
      <c r="AH10" s="35"/>
      <c r="AI10" s="36"/>
      <c r="AJ10" s="35"/>
      <c r="AK10" s="36"/>
    </row>
    <row r="11" spans="1:37" ht="48" customHeight="1">
      <c r="A11" s="679"/>
      <c r="B11" s="83">
        <v>3</v>
      </c>
      <c r="C11" s="877" t="s">
        <v>87</v>
      </c>
      <c r="D11" s="878"/>
      <c r="E11" s="84" t="s">
        <v>50</v>
      </c>
      <c r="F11" s="84">
        <v>4</v>
      </c>
      <c r="G11" s="164">
        <v>48069.61</v>
      </c>
      <c r="H11" s="85">
        <f t="shared" si="0"/>
        <v>192278.44</v>
      </c>
      <c r="I11" s="170">
        <v>44808.089305454901</v>
      </c>
      <c r="J11" s="171">
        <f t="shared" si="8"/>
        <v>179232.35722181961</v>
      </c>
      <c r="K11" s="167">
        <v>54444.595983568768</v>
      </c>
      <c r="L11" s="16">
        <f t="shared" si="9"/>
        <v>217778.38393427507</v>
      </c>
      <c r="M11" s="17">
        <f>47495.7*1.18</f>
        <v>56044.925999999992</v>
      </c>
      <c r="N11" s="16">
        <f t="shared" si="1"/>
        <v>224179.70399999997</v>
      </c>
      <c r="O11" s="90">
        <v>30699.562872505634</v>
      </c>
      <c r="P11" s="172">
        <f t="shared" si="2"/>
        <v>122798.25149002254</v>
      </c>
      <c r="Q11" s="607"/>
      <c r="R11" s="495"/>
      <c r="S11" s="17">
        <f>(988.52*64)*1.018</f>
        <v>64404.055039999999</v>
      </c>
      <c r="T11" s="16">
        <f t="shared" si="3"/>
        <v>257616.22016</v>
      </c>
      <c r="U11" s="17">
        <f>63989.9892378556*1.18</f>
        <v>75508.187300669611</v>
      </c>
      <c r="V11" s="16">
        <f t="shared" si="4"/>
        <v>302032.74920267845</v>
      </c>
      <c r="W11" s="17">
        <f>(697.74*64)*1.18</f>
        <v>52693.324799999995</v>
      </c>
      <c r="X11" s="16">
        <f t="shared" si="5"/>
        <v>210773.29919999998</v>
      </c>
      <c r="Y11" s="17">
        <f>(200860.8/F11)*1.18</f>
        <v>59253.935999999994</v>
      </c>
      <c r="Z11" s="16">
        <f t="shared" si="6"/>
        <v>237015.74399999998</v>
      </c>
      <c r="AA11" s="168">
        <f>((((43784.83/56)+40)*1.18)*64)+805</f>
        <v>62872.770742857138</v>
      </c>
      <c r="AB11" s="169">
        <f t="shared" si="7"/>
        <v>251491.08297142855</v>
      </c>
      <c r="AC11" s="30"/>
      <c r="AD11" s="33"/>
      <c r="AE11" s="34"/>
      <c r="AF11" s="31"/>
      <c r="AG11" s="32"/>
      <c r="AH11" s="35"/>
      <c r="AI11" s="36"/>
      <c r="AJ11" s="35"/>
      <c r="AK11" s="36"/>
    </row>
    <row r="12" spans="1:37" ht="48" customHeight="1">
      <c r="A12" s="679"/>
      <c r="B12" s="83">
        <v>4</v>
      </c>
      <c r="C12" s="886" t="s">
        <v>88</v>
      </c>
      <c r="D12" s="886"/>
      <c r="E12" s="84" t="s">
        <v>50</v>
      </c>
      <c r="F12" s="84">
        <v>6</v>
      </c>
      <c r="G12" s="164">
        <v>14121.01</v>
      </c>
      <c r="H12" s="85">
        <f t="shared" si="0"/>
        <v>84726.06</v>
      </c>
      <c r="I12" s="170">
        <v>17188.211076408767</v>
      </c>
      <c r="J12" s="171">
        <f t="shared" si="8"/>
        <v>103129.26645845259</v>
      </c>
      <c r="K12" s="167">
        <v>12351.7742947597</v>
      </c>
      <c r="L12" s="16">
        <f t="shared" si="9"/>
        <v>74110.645768558199</v>
      </c>
      <c r="M12" s="17">
        <f>9870*1.18</f>
        <v>11646.599999999999</v>
      </c>
      <c r="N12" s="16">
        <f t="shared" si="1"/>
        <v>69879.599999999991</v>
      </c>
      <c r="O12" s="90">
        <v>9436.8239622448345</v>
      </c>
      <c r="P12" s="172">
        <f t="shared" si="2"/>
        <v>56620.943773469007</v>
      </c>
      <c r="Q12" s="495"/>
      <c r="R12" s="495"/>
      <c r="S12" s="17">
        <f>(232.19*64)*1.018</f>
        <v>15127.642879999999</v>
      </c>
      <c r="T12" s="16">
        <f t="shared" si="3"/>
        <v>90765.857279999997</v>
      </c>
      <c r="U12" s="17">
        <f>19681.1825789252*1.18</f>
        <v>23223.795443131734</v>
      </c>
      <c r="V12" s="16">
        <f t="shared" si="4"/>
        <v>139342.7726587904</v>
      </c>
      <c r="W12" s="17">
        <f>(176.5*64)*1.18</f>
        <v>13329.279999999999</v>
      </c>
      <c r="X12" s="16">
        <f t="shared" si="5"/>
        <v>79975.679999999993</v>
      </c>
      <c r="Y12" s="17">
        <f>(51386.4/F12)*1.18</f>
        <v>10105.991999999998</v>
      </c>
      <c r="Z12" s="16">
        <f t="shared" si="6"/>
        <v>60635.95199999999</v>
      </c>
      <c r="AA12" s="168">
        <f>((((22239.36/156)+40)*1.18)*64)+805</f>
        <v>14591.931199999999</v>
      </c>
      <c r="AB12" s="169">
        <f t="shared" si="7"/>
        <v>87551.587199999994</v>
      </c>
      <c r="AD12" s="33"/>
      <c r="AE12" s="34"/>
      <c r="AF12" s="31"/>
      <c r="AG12" s="32"/>
      <c r="AH12" s="35"/>
      <c r="AI12" s="36"/>
      <c r="AJ12" s="35"/>
      <c r="AK12" s="36"/>
    </row>
    <row r="13" spans="1:37" ht="48" customHeight="1">
      <c r="A13" s="679"/>
      <c r="B13" s="83">
        <v>5</v>
      </c>
      <c r="C13" s="884" t="s">
        <v>89</v>
      </c>
      <c r="D13" s="885"/>
      <c r="E13" s="84" t="s">
        <v>50</v>
      </c>
      <c r="F13" s="84">
        <v>2</v>
      </c>
      <c r="G13" s="164">
        <v>34924.410000000003</v>
      </c>
      <c r="H13" s="85">
        <f t="shared" si="0"/>
        <v>69848.820000000007</v>
      </c>
      <c r="I13" s="170">
        <v>31719.863690061105</v>
      </c>
      <c r="J13" s="171">
        <f t="shared" si="8"/>
        <v>63439.727380122211</v>
      </c>
      <c r="K13" s="167">
        <v>35141.726291816609</v>
      </c>
      <c r="L13" s="16">
        <f t="shared" si="9"/>
        <v>70283.452583633218</v>
      </c>
      <c r="M13" s="17">
        <f>30532.95*1.18</f>
        <v>36028.881000000001</v>
      </c>
      <c r="N13" s="16">
        <f t="shared" si="1"/>
        <v>72057.762000000002</v>
      </c>
      <c r="O13" s="90">
        <v>21297.877747508832</v>
      </c>
      <c r="P13" s="172">
        <f t="shared" si="2"/>
        <v>42595.755495017664</v>
      </c>
      <c r="Q13" s="607"/>
      <c r="R13" s="495"/>
      <c r="S13" s="17">
        <f>(624.16*64)*1.018</f>
        <v>40665.272319999996</v>
      </c>
      <c r="T13" s="16">
        <f t="shared" si="3"/>
        <v>81330.544639999993</v>
      </c>
      <c r="U13" s="17">
        <f>35841.0944028261*1.18</f>
        <v>42292.491395334793</v>
      </c>
      <c r="V13" s="16">
        <f t="shared" si="4"/>
        <v>84584.982790669586</v>
      </c>
      <c r="W13" s="17">
        <f>(451.4*64)*1.18</f>
        <v>34089.727999999996</v>
      </c>
      <c r="X13" s="16">
        <f t="shared" si="5"/>
        <v>68179.455999999991</v>
      </c>
      <c r="Y13" s="17">
        <f>(50950.8/F13)*1.18</f>
        <v>30060.972000000002</v>
      </c>
      <c r="Z13" s="16">
        <f t="shared" si="6"/>
        <v>60121.944000000003</v>
      </c>
      <c r="AA13" s="168">
        <f>((((30157.92/52)+40)*1.18)*64)+805</f>
        <v>47624.379199999988</v>
      </c>
      <c r="AB13" s="169">
        <f t="shared" si="7"/>
        <v>95248.758399999977</v>
      </c>
      <c r="AC13" s="30"/>
      <c r="AD13" s="33"/>
      <c r="AE13" s="34"/>
      <c r="AF13" s="31"/>
      <c r="AG13" s="32"/>
      <c r="AH13" s="35"/>
      <c r="AI13" s="36"/>
      <c r="AJ13" s="35"/>
      <c r="AK13" s="36"/>
    </row>
    <row r="14" spans="1:37" ht="48" customHeight="1">
      <c r="A14" s="679"/>
      <c r="B14" s="83">
        <v>6</v>
      </c>
      <c r="C14" s="886" t="s">
        <v>90</v>
      </c>
      <c r="D14" s="886"/>
      <c r="E14" s="84" t="s">
        <v>50</v>
      </c>
      <c r="F14" s="84">
        <v>4</v>
      </c>
      <c r="G14" s="164">
        <v>23537.41</v>
      </c>
      <c r="H14" s="85">
        <f t="shared" si="0"/>
        <v>94149.64</v>
      </c>
      <c r="I14" s="170">
        <v>21117.419901753237</v>
      </c>
      <c r="J14" s="171">
        <f t="shared" si="8"/>
        <v>84469.679607012949</v>
      </c>
      <c r="K14" s="167">
        <v>22732.595340229956</v>
      </c>
      <c r="L14" s="16">
        <f t="shared" si="9"/>
        <v>90930.381360919826</v>
      </c>
      <c r="M14" s="17">
        <f>18450.63*1.18</f>
        <v>21771.743399999999</v>
      </c>
      <c r="N14" s="16">
        <f t="shared" si="1"/>
        <v>87086.973599999998</v>
      </c>
      <c r="O14" s="90">
        <v>18448.193259803236</v>
      </c>
      <c r="P14" s="172">
        <f t="shared" si="2"/>
        <v>73792.773039212945</v>
      </c>
      <c r="Q14" s="607"/>
      <c r="R14" s="495"/>
      <c r="S14" s="17">
        <f>(406.33*64)*1.018</f>
        <v>26473.212159999999</v>
      </c>
      <c r="T14" s="16">
        <f t="shared" si="3"/>
        <v>105892.84864</v>
      </c>
      <c r="U14" s="17">
        <f>27922.0019799361*1.18</f>
        <v>32947.962336324599</v>
      </c>
      <c r="V14" s="16">
        <f t="shared" si="4"/>
        <v>131791.8493452984</v>
      </c>
      <c r="W14" s="17">
        <f>(290.19*64)*1.18</f>
        <v>21915.148799999999</v>
      </c>
      <c r="X14" s="16">
        <f t="shared" si="5"/>
        <v>87660.595199999996</v>
      </c>
      <c r="Y14" s="17">
        <f>(77079.6/F14)*1.18</f>
        <v>22738.482</v>
      </c>
      <c r="Z14" s="16">
        <f t="shared" si="6"/>
        <v>90953.928</v>
      </c>
      <c r="AA14" s="168">
        <f>((((33359.04/104)+40)*1.18)*64)+805</f>
        <v>28049.595199999996</v>
      </c>
      <c r="AB14" s="169">
        <f t="shared" si="7"/>
        <v>112198.38079999998</v>
      </c>
      <c r="AC14" s="30"/>
      <c r="AD14" s="33"/>
      <c r="AE14" s="34"/>
      <c r="AF14" s="31"/>
      <c r="AG14" s="32"/>
      <c r="AH14" s="35"/>
      <c r="AI14" s="36"/>
      <c r="AJ14" s="35"/>
      <c r="AK14" s="36"/>
    </row>
    <row r="15" spans="1:37" ht="48" customHeight="1">
      <c r="A15" s="679"/>
      <c r="B15" s="83">
        <v>7</v>
      </c>
      <c r="C15" s="877" t="s">
        <v>91</v>
      </c>
      <c r="D15" s="878"/>
      <c r="E15" s="84" t="s">
        <v>50</v>
      </c>
      <c r="F15" s="84">
        <v>6</v>
      </c>
      <c r="G15" s="164">
        <v>7695.91</v>
      </c>
      <c r="H15" s="85">
        <f t="shared" si="0"/>
        <v>46175.46</v>
      </c>
      <c r="I15" s="170">
        <v>11125.240601464717</v>
      </c>
      <c r="J15" s="171">
        <f t="shared" si="8"/>
        <v>66751.443608788308</v>
      </c>
      <c r="K15" s="167">
        <v>7310.9050066316067</v>
      </c>
      <c r="L15" s="16">
        <f t="shared" si="9"/>
        <v>43865.430039789644</v>
      </c>
      <c r="M15" s="17">
        <f>6345*1.18</f>
        <v>7487.0999999999995</v>
      </c>
      <c r="N15" s="16">
        <f t="shared" si="1"/>
        <v>44922.6</v>
      </c>
      <c r="O15" s="90">
        <v>8178.086997706434</v>
      </c>
      <c r="P15" s="172">
        <f t="shared" si="2"/>
        <v>49068.5219862386</v>
      </c>
      <c r="Q15" s="495"/>
      <c r="R15" s="495"/>
      <c r="S15" s="17">
        <f>(152.21*64)*1.018</f>
        <v>9916.7859200000003</v>
      </c>
      <c r="T15" s="16">
        <f t="shared" si="3"/>
        <v>59500.715519999998</v>
      </c>
      <c r="U15" s="17">
        <f>13438.9701632101*1.18</f>
        <v>15857.984792587918</v>
      </c>
      <c r="V15" s="16">
        <f t="shared" si="4"/>
        <v>95147.908755527518</v>
      </c>
      <c r="W15" s="17">
        <f>(176.5*64)*1.18</f>
        <v>13329.279999999999</v>
      </c>
      <c r="X15" s="16">
        <f t="shared" si="5"/>
        <v>79975.679999999993</v>
      </c>
      <c r="Y15" s="90">
        <f>(21960/F15)*1.18</f>
        <v>4318.8</v>
      </c>
      <c r="Z15" s="16">
        <f t="shared" si="6"/>
        <v>25912.800000000003</v>
      </c>
      <c r="AA15" s="168">
        <f>((((10196/156)+40)*1.18)*64)+805</f>
        <v>8761.7097435897449</v>
      </c>
      <c r="AB15" s="169">
        <f t="shared" si="7"/>
        <v>52570.258461538469</v>
      </c>
      <c r="AC15" s="30"/>
      <c r="AD15" s="33"/>
      <c r="AE15" s="34"/>
      <c r="AF15" s="31"/>
      <c r="AG15" s="32"/>
      <c r="AH15" s="35"/>
      <c r="AI15" s="36"/>
      <c r="AJ15" s="35"/>
      <c r="AK15" s="36"/>
    </row>
    <row r="16" spans="1:37" ht="48" customHeight="1">
      <c r="A16" s="679"/>
      <c r="B16" s="83">
        <v>8</v>
      </c>
      <c r="C16" s="886" t="s">
        <v>92</v>
      </c>
      <c r="D16" s="886"/>
      <c r="E16" s="84" t="s">
        <v>50</v>
      </c>
      <c r="F16" s="84">
        <v>6</v>
      </c>
      <c r="G16" s="164">
        <v>14121.01</v>
      </c>
      <c r="H16" s="85">
        <f t="shared" si="0"/>
        <v>84726.06</v>
      </c>
      <c r="I16" s="170">
        <v>17064.859743724006</v>
      </c>
      <c r="J16" s="171">
        <f t="shared" si="8"/>
        <v>102389.15846234403</v>
      </c>
      <c r="K16" s="167">
        <v>12351.772712040658</v>
      </c>
      <c r="L16" s="16">
        <f t="shared" si="9"/>
        <v>74110.636272243952</v>
      </c>
      <c r="M16" s="17">
        <f>9870*1.18</f>
        <v>11646.599999999999</v>
      </c>
      <c r="N16" s="16">
        <f t="shared" si="1"/>
        <v>69879.599999999991</v>
      </c>
      <c r="O16" s="90">
        <v>15752.614050244832</v>
      </c>
      <c r="P16" s="172">
        <f t="shared" si="2"/>
        <v>94515.684301468995</v>
      </c>
      <c r="Q16" s="495"/>
      <c r="R16" s="495"/>
      <c r="S16" s="17">
        <f>(257.92*64)*1.018</f>
        <v>16804.003840000001</v>
      </c>
      <c r="T16" s="16">
        <f t="shared" si="3"/>
        <v>100824.02304</v>
      </c>
      <c r="U16" s="17">
        <f>19681.1825789252*1.18</f>
        <v>23223.795443131734</v>
      </c>
      <c r="V16" s="16">
        <f t="shared" si="4"/>
        <v>139342.7726587904</v>
      </c>
      <c r="W16" s="17">
        <f>(183.28*64)*1.18</f>
        <v>13841.3056</v>
      </c>
      <c r="X16" s="16">
        <f t="shared" si="5"/>
        <v>83047.833599999998</v>
      </c>
      <c r="Y16" s="90">
        <f>(85644/F16)*1.18</f>
        <v>16843.32</v>
      </c>
      <c r="Z16" s="16">
        <f t="shared" si="6"/>
        <v>101059.92</v>
      </c>
      <c r="AA16" s="168">
        <f>((((37065.6/260)+40)*1.18)*64)+805</f>
        <v>14591.931199999999</v>
      </c>
      <c r="AB16" s="169">
        <f t="shared" si="7"/>
        <v>87551.587199999994</v>
      </c>
      <c r="AC16" s="30"/>
      <c r="AD16" s="33"/>
      <c r="AE16" s="34"/>
      <c r="AF16" s="31"/>
      <c r="AG16" s="32"/>
      <c r="AH16" s="35"/>
      <c r="AI16" s="36"/>
      <c r="AJ16" s="35"/>
      <c r="AK16" s="36"/>
    </row>
    <row r="17" spans="1:37" ht="48" customHeight="1">
      <c r="A17" s="679"/>
      <c r="B17" s="83">
        <v>9</v>
      </c>
      <c r="C17" s="886" t="s">
        <v>93</v>
      </c>
      <c r="D17" s="886"/>
      <c r="E17" s="84" t="s">
        <v>50</v>
      </c>
      <c r="F17" s="84">
        <v>4</v>
      </c>
      <c r="G17" s="164">
        <v>14121.01</v>
      </c>
      <c r="H17" s="85">
        <f t="shared" si="0"/>
        <v>56484.04</v>
      </c>
      <c r="I17" s="170">
        <v>17064.859743724006</v>
      </c>
      <c r="J17" s="171">
        <f t="shared" si="8"/>
        <v>68259.438974896024</v>
      </c>
      <c r="K17" s="167">
        <v>12351.772712040658</v>
      </c>
      <c r="L17" s="16">
        <f t="shared" si="9"/>
        <v>49407.090848162632</v>
      </c>
      <c r="M17" s="17">
        <f>9870*1.18</f>
        <v>11646.599999999999</v>
      </c>
      <c r="N17" s="16">
        <f t="shared" si="1"/>
        <v>46586.399999999994</v>
      </c>
      <c r="O17" s="90">
        <v>24086.299071360834</v>
      </c>
      <c r="P17" s="172">
        <f t="shared" si="2"/>
        <v>96345.196285443337</v>
      </c>
      <c r="Q17" s="495"/>
      <c r="R17" s="495"/>
      <c r="S17" s="17">
        <f>(257.92*64)*1.018</f>
        <v>16804.003840000001</v>
      </c>
      <c r="T17" s="16">
        <f t="shared" si="3"/>
        <v>67216.015360000005</v>
      </c>
      <c r="U17" s="17">
        <f>19681.1825789252*1.18</f>
        <v>23223.795443131734</v>
      </c>
      <c r="V17" s="16">
        <f t="shared" si="4"/>
        <v>92895.181772526936</v>
      </c>
      <c r="W17" s="17">
        <f>(183.28*64)*1.18</f>
        <v>13841.3056</v>
      </c>
      <c r="X17" s="16">
        <f t="shared" si="5"/>
        <v>55365.222399999999</v>
      </c>
      <c r="Y17" s="90">
        <f>(85644/F17)*1.18</f>
        <v>25264.98</v>
      </c>
      <c r="Z17" s="16">
        <f t="shared" si="6"/>
        <v>101059.92</v>
      </c>
      <c r="AA17" s="168">
        <f>((((37065.6/260)+40)*1.18)*64)+805</f>
        <v>14591.931199999999</v>
      </c>
      <c r="AB17" s="169">
        <f t="shared" si="7"/>
        <v>58367.724799999996</v>
      </c>
      <c r="AC17" s="30"/>
      <c r="AD17" s="33"/>
      <c r="AE17" s="34"/>
      <c r="AF17" s="31"/>
      <c r="AG17" s="32"/>
      <c r="AH17" s="35"/>
      <c r="AI17" s="36"/>
      <c r="AJ17" s="35"/>
      <c r="AK17" s="36"/>
    </row>
    <row r="18" spans="1:37" ht="48" customHeight="1">
      <c r="A18" s="679"/>
      <c r="B18" s="83">
        <v>10</v>
      </c>
      <c r="C18" s="877" t="s">
        <v>94</v>
      </c>
      <c r="D18" s="878"/>
      <c r="E18" s="84" t="s">
        <v>50</v>
      </c>
      <c r="F18" s="84">
        <v>12</v>
      </c>
      <c r="G18" s="164">
        <v>17436.810000000001</v>
      </c>
      <c r="H18" s="85">
        <f t="shared" si="0"/>
        <v>209241.72000000003</v>
      </c>
      <c r="I18" s="170">
        <v>21117.419901753237</v>
      </c>
      <c r="J18" s="171">
        <f t="shared" si="8"/>
        <v>253409.03882103885</v>
      </c>
      <c r="K18" s="167">
        <v>17769.031987543971</v>
      </c>
      <c r="L18" s="16">
        <f t="shared" si="9"/>
        <v>213228.38385052764</v>
      </c>
      <c r="M18" s="17">
        <f>14350.49*1.18</f>
        <v>16933.5782</v>
      </c>
      <c r="N18" s="16">
        <f t="shared" si="1"/>
        <v>203202.93839999998</v>
      </c>
      <c r="O18" s="90">
        <v>17272.824724426435</v>
      </c>
      <c r="P18" s="172">
        <f t="shared" si="2"/>
        <v>207273.89669311722</v>
      </c>
      <c r="Q18" s="495"/>
      <c r="R18" s="495"/>
      <c r="S18" s="17">
        <f>(381.02*64)*1.018</f>
        <v>24824.215039999999</v>
      </c>
      <c r="T18" s="16">
        <f t="shared" si="3"/>
        <v>297890.58048</v>
      </c>
      <c r="U18" s="17">
        <f>33312.6516095023*1.18</f>
        <v>39308.928899212719</v>
      </c>
      <c r="V18" s="16">
        <f t="shared" si="4"/>
        <v>471707.14679055265</v>
      </c>
      <c r="W18" s="17">
        <f>(172.07*64)*1.18</f>
        <v>12994.7264</v>
      </c>
      <c r="X18" s="16">
        <f t="shared" si="5"/>
        <v>155936.71679999999</v>
      </c>
      <c r="Y18" s="90">
        <f>(179852.4/F18)*1.18</f>
        <v>17685.485999999997</v>
      </c>
      <c r="Z18" s="16">
        <f t="shared" si="6"/>
        <v>212225.83199999997</v>
      </c>
      <c r="AA18" s="168">
        <f>((((77837.76/312)+40)*1.18)*64)+805</f>
        <v>22666.529600000002</v>
      </c>
      <c r="AB18" s="169">
        <f t="shared" si="7"/>
        <v>271998.35519999999</v>
      </c>
      <c r="AC18" s="30"/>
      <c r="AD18" s="33"/>
      <c r="AE18" s="34"/>
      <c r="AF18" s="31"/>
      <c r="AG18" s="32"/>
      <c r="AH18" s="35"/>
      <c r="AI18" s="36"/>
      <c r="AJ18" s="35"/>
      <c r="AK18" s="36"/>
    </row>
    <row r="19" spans="1:37" ht="48" customHeight="1">
      <c r="A19" s="679"/>
      <c r="B19" s="83">
        <v>11</v>
      </c>
      <c r="C19" s="877" t="s">
        <v>95</v>
      </c>
      <c r="D19" s="878"/>
      <c r="E19" s="84" t="s">
        <v>50</v>
      </c>
      <c r="F19" s="84">
        <v>6</v>
      </c>
      <c r="G19" s="164">
        <v>7725.41</v>
      </c>
      <c r="H19" s="85">
        <f t="shared" si="0"/>
        <v>46352.46</v>
      </c>
      <c r="I19" s="170">
        <v>10223.549573067326</v>
      </c>
      <c r="J19" s="171">
        <f t="shared" si="8"/>
        <v>61341.297438403955</v>
      </c>
      <c r="K19" s="167">
        <v>10076.694742077147</v>
      </c>
      <c r="L19" s="16">
        <f t="shared" si="9"/>
        <v>60460.16845246288</v>
      </c>
      <c r="M19" s="17">
        <f>8100*1.18</f>
        <v>9558</v>
      </c>
      <c r="N19" s="16">
        <f t="shared" si="1"/>
        <v>57348</v>
      </c>
      <c r="O19" s="90">
        <v>10417.034583902434</v>
      </c>
      <c r="P19" s="172">
        <f t="shared" si="2"/>
        <v>62502.207503414604</v>
      </c>
      <c r="Q19" s="495"/>
      <c r="R19" s="495"/>
      <c r="S19" s="17">
        <f>(152.21*64)*1.018</f>
        <v>9916.7859200000003</v>
      </c>
      <c r="T19" s="16">
        <f t="shared" si="3"/>
        <v>59500.715519999998</v>
      </c>
      <c r="U19" s="17">
        <f>11934.0323977856*1.18</f>
        <v>14082.158229387009</v>
      </c>
      <c r="V19" s="16">
        <f t="shared" si="4"/>
        <v>84492.949376322053</v>
      </c>
      <c r="W19" s="17">
        <f>(171.96*64)*1.18</f>
        <v>12986.4192</v>
      </c>
      <c r="X19" s="16">
        <f t="shared" si="5"/>
        <v>77918.515199999994</v>
      </c>
      <c r="Y19" s="90">
        <f>(30744/F19)*1.18</f>
        <v>6046.32</v>
      </c>
      <c r="Z19" s="16">
        <f t="shared" si="6"/>
        <v>36277.919999999998</v>
      </c>
      <c r="AA19" s="168">
        <f>((((14440.4 /156)+40)*1.18)*64)+805</f>
        <v>10816.434666666666</v>
      </c>
      <c r="AB19" s="169">
        <f t="shared" si="7"/>
        <v>64898.607999999993</v>
      </c>
      <c r="AC19" s="30"/>
      <c r="AD19" s="33"/>
      <c r="AE19" s="34"/>
      <c r="AF19" s="31"/>
      <c r="AG19" s="32"/>
      <c r="AH19" s="35"/>
      <c r="AI19" s="36"/>
      <c r="AJ19" s="35"/>
      <c r="AK19" s="36"/>
    </row>
    <row r="20" spans="1:37" ht="48" customHeight="1">
      <c r="A20" s="679"/>
      <c r="B20" s="83">
        <v>12</v>
      </c>
      <c r="C20" s="879" t="s">
        <v>96</v>
      </c>
      <c r="D20" s="880"/>
      <c r="E20" s="84" t="s">
        <v>50</v>
      </c>
      <c r="F20" s="84">
        <v>3</v>
      </c>
      <c r="G20" s="164">
        <v>12192.43</v>
      </c>
      <c r="H20" s="85">
        <f t="shared" si="0"/>
        <v>36577.29</v>
      </c>
      <c r="I20" s="170">
        <v>16249.731054052763</v>
      </c>
      <c r="J20" s="171">
        <f t="shared" si="8"/>
        <v>48749.193162158292</v>
      </c>
      <c r="K20" s="167">
        <v>10941.417272465696</v>
      </c>
      <c r="L20" s="16">
        <f t="shared" si="9"/>
        <v>32824.251817397089</v>
      </c>
      <c r="M20" s="17">
        <f>10384.97*1.18</f>
        <v>12254.264599999999</v>
      </c>
      <c r="N20" s="16">
        <f t="shared" si="1"/>
        <v>36762.793799999999</v>
      </c>
      <c r="O20" s="90">
        <v>16327.982527261633</v>
      </c>
      <c r="P20" s="172">
        <f t="shared" si="2"/>
        <v>48983.947581784902</v>
      </c>
      <c r="Q20" s="495"/>
      <c r="R20" s="495"/>
      <c r="S20" s="17">
        <f>(267.19*64)*1.018</f>
        <v>17407.962879999999</v>
      </c>
      <c r="T20" s="16">
        <f t="shared" si="3"/>
        <v>52223.888639999997</v>
      </c>
      <c r="U20" s="90">
        <f>21235.7531564013*1.18</f>
        <v>25058.188724553533</v>
      </c>
      <c r="V20" s="172">
        <f t="shared" si="4"/>
        <v>75174.566173660598</v>
      </c>
      <c r="W20" s="90">
        <f>(176.5*64)*1.18</f>
        <v>13329.279999999999</v>
      </c>
      <c r="X20" s="172">
        <f t="shared" si="5"/>
        <v>39987.839999999997</v>
      </c>
      <c r="Y20" s="90">
        <v>12192.43</v>
      </c>
      <c r="Z20" s="172">
        <f t="shared" si="6"/>
        <v>36577.29</v>
      </c>
      <c r="AA20" s="173">
        <f>((((13693.68/78)+40)*1.18)*64)+805</f>
        <v>17084.091199999999</v>
      </c>
      <c r="AB20" s="101">
        <f t="shared" si="7"/>
        <v>51252.2736</v>
      </c>
      <c r="AC20" s="30"/>
      <c r="AD20" s="33"/>
      <c r="AE20" s="34"/>
      <c r="AF20" s="31"/>
      <c r="AG20" s="32"/>
      <c r="AH20" s="35"/>
      <c r="AI20" s="36"/>
      <c r="AJ20" s="35"/>
      <c r="AK20" s="36"/>
    </row>
    <row r="21" spans="1:37" ht="48" customHeight="1">
      <c r="A21" s="679"/>
      <c r="B21" s="83">
        <v>13</v>
      </c>
      <c r="C21" s="879" t="s">
        <v>97</v>
      </c>
      <c r="D21" s="880"/>
      <c r="E21" s="84" t="s">
        <v>50</v>
      </c>
      <c r="F21" s="84">
        <v>1</v>
      </c>
      <c r="G21" s="164">
        <v>18457.84</v>
      </c>
      <c r="H21" s="85">
        <f t="shared" si="0"/>
        <v>18457.84</v>
      </c>
      <c r="I21" s="170">
        <v>19573.724861136903</v>
      </c>
      <c r="J21" s="171">
        <f t="shared" si="8"/>
        <v>19573.724861136903</v>
      </c>
      <c r="K21" s="167">
        <v>27928.45635182349</v>
      </c>
      <c r="L21" s="16">
        <f t="shared" si="9"/>
        <v>27928.45635182349</v>
      </c>
      <c r="M21" s="17">
        <f>11478.13*1.18</f>
        <v>13544.193399999998</v>
      </c>
      <c r="N21" s="16">
        <f t="shared" si="1"/>
        <v>13544.193399999998</v>
      </c>
      <c r="O21" s="90">
        <v>20963.14087284483</v>
      </c>
      <c r="P21" s="172">
        <f t="shared" si="2"/>
        <v>20963.14087284483</v>
      </c>
      <c r="Q21" s="495"/>
      <c r="R21" s="495"/>
      <c r="S21" s="17">
        <f>(409.25*64)*1.018</f>
        <v>26663.456000000002</v>
      </c>
      <c r="T21" s="16">
        <f t="shared" si="3"/>
        <v>26663.456000000002</v>
      </c>
      <c r="U21" s="90">
        <f>33464.0372256363*1.18</f>
        <v>39487.563926250827</v>
      </c>
      <c r="V21" s="172">
        <f t="shared" si="4"/>
        <v>39487.563926250827</v>
      </c>
      <c r="W21" s="90">
        <f>(554.33*64)*1.18</f>
        <v>41863.001600000003</v>
      </c>
      <c r="X21" s="172">
        <f t="shared" si="5"/>
        <v>41863.001600000003</v>
      </c>
      <c r="Y21" s="90">
        <v>18457.84</v>
      </c>
      <c r="Z21" s="172">
        <f t="shared" si="6"/>
        <v>18457.84</v>
      </c>
      <c r="AA21" s="173">
        <f>((((5864.04/26)+40)*1.18)*64)+805</f>
        <v>20858.580799999996</v>
      </c>
      <c r="AB21" s="101">
        <f t="shared" si="7"/>
        <v>20858.580799999996</v>
      </c>
      <c r="AC21" s="30"/>
      <c r="AD21" s="33"/>
      <c r="AE21" s="34"/>
      <c r="AF21" s="31"/>
      <c r="AG21" s="32"/>
      <c r="AH21" s="35"/>
      <c r="AI21" s="36"/>
      <c r="AJ21" s="35"/>
      <c r="AK21" s="36"/>
    </row>
    <row r="22" spans="1:37" ht="48" customHeight="1">
      <c r="A22" s="679"/>
      <c r="B22" s="83">
        <v>14</v>
      </c>
      <c r="C22" s="879" t="s">
        <v>98</v>
      </c>
      <c r="D22" s="880"/>
      <c r="E22" s="84" t="s">
        <v>50</v>
      </c>
      <c r="F22" s="84">
        <v>1</v>
      </c>
      <c r="G22" s="164">
        <v>23152.63</v>
      </c>
      <c r="H22" s="85">
        <f t="shared" si="0"/>
        <v>23152.63</v>
      </c>
      <c r="I22" s="170">
        <v>22105.673268876773</v>
      </c>
      <c r="J22" s="171">
        <f t="shared" si="8"/>
        <v>22105.673268876773</v>
      </c>
      <c r="K22" s="167">
        <v>27928.45635182349</v>
      </c>
      <c r="L22" s="16">
        <f t="shared" si="9"/>
        <v>27928.45635182349</v>
      </c>
      <c r="M22" s="17">
        <f>16397.33*1.18</f>
        <v>19348.849400000003</v>
      </c>
      <c r="N22" s="16">
        <f t="shared" si="1"/>
        <v>19348.849400000003</v>
      </c>
      <c r="O22" s="90">
        <v>22612.82524383043</v>
      </c>
      <c r="P22" s="172">
        <f t="shared" si="2"/>
        <v>22612.82524383043</v>
      </c>
      <c r="Q22" s="495"/>
      <c r="R22" s="495"/>
      <c r="S22" s="17">
        <f>(471.61*64)*1.018</f>
        <v>30726.334720000003</v>
      </c>
      <c r="T22" s="16">
        <f t="shared" si="3"/>
        <v>30726.334720000003</v>
      </c>
      <c r="U22" s="90">
        <f>40444.5377206203*1.18</f>
        <v>47724.554510331945</v>
      </c>
      <c r="V22" s="172">
        <f t="shared" si="4"/>
        <v>47724.554510331945</v>
      </c>
      <c r="W22" s="90">
        <f>(791.91*64)*1.18</f>
        <v>59805.043199999993</v>
      </c>
      <c r="X22" s="172">
        <f t="shared" si="5"/>
        <v>59805.043199999993</v>
      </c>
      <c r="Y22" s="90">
        <v>23152.63</v>
      </c>
      <c r="Z22" s="172">
        <f t="shared" si="6"/>
        <v>23152.63</v>
      </c>
      <c r="AA22" s="173">
        <f>((((15637.44 /56)+40)*1.18)*64)+805</f>
        <v>24914.004799999999</v>
      </c>
      <c r="AB22" s="101">
        <f t="shared" si="7"/>
        <v>24914.004799999999</v>
      </c>
      <c r="AC22" s="30"/>
      <c r="AD22" s="33"/>
      <c r="AE22" s="34"/>
      <c r="AF22" s="31"/>
      <c r="AG22" s="32"/>
      <c r="AH22" s="35"/>
      <c r="AI22" s="36"/>
      <c r="AJ22" s="35"/>
      <c r="AK22" s="36"/>
    </row>
    <row r="23" spans="1:37" ht="48" customHeight="1" thickBot="1">
      <c r="A23" s="679"/>
      <c r="B23" s="83">
        <v>15</v>
      </c>
      <c r="C23" s="881" t="s">
        <v>99</v>
      </c>
      <c r="D23" s="881"/>
      <c r="E23" s="84" t="s">
        <v>50</v>
      </c>
      <c r="F23" s="84">
        <v>12</v>
      </c>
      <c r="G23" s="164">
        <v>8500</v>
      </c>
      <c r="H23" s="174">
        <f t="shared" si="0"/>
        <v>102000</v>
      </c>
      <c r="I23" s="170">
        <v>5124.6707907937271</v>
      </c>
      <c r="J23" s="175">
        <f t="shared" si="8"/>
        <v>61496.049489524725</v>
      </c>
      <c r="K23" s="167">
        <v>8194.1255663582033</v>
      </c>
      <c r="L23" s="176">
        <f t="shared" si="9"/>
        <v>98329.506796298432</v>
      </c>
      <c r="M23" s="17">
        <f>5985.43*1.18</f>
        <v>7062.8073999999997</v>
      </c>
      <c r="N23" s="176">
        <f t="shared" si="1"/>
        <v>84753.688800000004</v>
      </c>
      <c r="O23" s="90">
        <v>9770.9292579000339</v>
      </c>
      <c r="P23" s="172">
        <f t="shared" si="2"/>
        <v>117251.15109480041</v>
      </c>
      <c r="Q23" s="607"/>
      <c r="R23" s="495"/>
      <c r="S23" s="17">
        <f>(124.91*64)*1.018</f>
        <v>8138.1363199999996</v>
      </c>
      <c r="T23" s="16">
        <f t="shared" si="3"/>
        <v>97657.635840000003</v>
      </c>
      <c r="U23" s="90">
        <f>11771.174733241*1.18</f>
        <v>13889.986185224379</v>
      </c>
      <c r="V23" s="172">
        <f t="shared" si="4"/>
        <v>166679.83422269256</v>
      </c>
      <c r="W23" s="90">
        <f>(147.08*64)*1.18</f>
        <v>11107.481600000001</v>
      </c>
      <c r="X23" s="172">
        <f t="shared" si="5"/>
        <v>133289.77920000002</v>
      </c>
      <c r="Y23" s="90">
        <f>(92340/F23)*1.18</f>
        <v>9080.1</v>
      </c>
      <c r="Z23" s="172">
        <f t="shared" si="6"/>
        <v>108961.20000000001</v>
      </c>
      <c r="AA23" s="177">
        <f>(((8500)+(40*64))*1.18)+805</f>
        <v>13855.8</v>
      </c>
      <c r="AB23" s="178">
        <f t="shared" si="7"/>
        <v>166269.59999999998</v>
      </c>
      <c r="AC23" s="30"/>
      <c r="AD23" s="33"/>
      <c r="AE23" s="34"/>
      <c r="AF23" s="31"/>
      <c r="AG23" s="32"/>
      <c r="AH23" s="35"/>
      <c r="AI23" s="36"/>
      <c r="AJ23" s="35"/>
      <c r="AK23" s="36"/>
    </row>
    <row r="24" spans="1:37" ht="30" customHeight="1" thickBot="1">
      <c r="A24" s="664" t="s">
        <v>16</v>
      </c>
      <c r="B24" s="666" t="s">
        <v>17</v>
      </c>
      <c r="C24" s="667"/>
      <c r="D24" s="667"/>
      <c r="E24" s="667"/>
      <c r="F24" s="667"/>
      <c r="G24" s="668"/>
      <c r="H24" s="97">
        <f>SUM(H9:H23)</f>
        <v>1196600.26</v>
      </c>
      <c r="I24" s="87"/>
      <c r="J24" s="88">
        <f>SUM(J9:J23)</f>
        <v>1262030.6706800479</v>
      </c>
      <c r="K24" s="94"/>
      <c r="L24" s="93">
        <f>SUM(L9:L23)</f>
        <v>1241246.5559941353</v>
      </c>
      <c r="M24" s="95"/>
      <c r="N24" s="96">
        <f>SUM(N9:N23)</f>
        <v>1192884.0305999997</v>
      </c>
      <c r="O24" s="92"/>
      <c r="P24" s="93">
        <f>SUM(P9:P23)</f>
        <v>1117728.860656536</v>
      </c>
      <c r="Q24" s="92"/>
      <c r="R24" s="92">
        <f>SUM(R9:R23)</f>
        <v>0</v>
      </c>
      <c r="S24" s="92"/>
      <c r="T24" s="93">
        <f>SUM(T9:T23)</f>
        <v>1506489.4988799999</v>
      </c>
      <c r="U24" s="92"/>
      <c r="V24" s="93">
        <f>SUM(V9:V23)</f>
        <v>2088549.1242092294</v>
      </c>
      <c r="W24" s="179"/>
      <c r="X24" s="92">
        <f>SUM(X9:X23)</f>
        <v>1340679.3728</v>
      </c>
      <c r="Y24" s="92"/>
      <c r="Z24" s="93">
        <f>SUM(Z9:Z23)</f>
        <v>1267198.7120000001</v>
      </c>
      <c r="AA24" s="180"/>
      <c r="AB24" s="181">
        <f>SUM(AB9:AB23)</f>
        <v>1523988.6925186813</v>
      </c>
      <c r="AC24" s="9"/>
      <c r="AD24" s="9"/>
      <c r="AE24" s="9"/>
      <c r="AF24" s="38"/>
      <c r="AG24" s="7"/>
      <c r="AH24" s="7"/>
      <c r="AI24" s="7"/>
      <c r="AJ24" s="7"/>
      <c r="AK24" s="39"/>
    </row>
    <row r="25" spans="1:37" ht="25.5" customHeight="1">
      <c r="A25" s="665"/>
      <c r="B25" s="669" t="s">
        <v>49</v>
      </c>
      <c r="C25" s="670"/>
      <c r="D25" s="670"/>
      <c r="E25" s="670"/>
      <c r="F25" s="670"/>
      <c r="G25" s="670"/>
      <c r="H25" s="37"/>
      <c r="I25" s="673">
        <f>I24*0.18</f>
        <v>0</v>
      </c>
      <c r="J25" s="887"/>
      <c r="K25" s="673">
        <f>0.18*K24</f>
        <v>0</v>
      </c>
      <c r="L25" s="672"/>
      <c r="M25" s="77"/>
      <c r="N25" s="89"/>
      <c r="O25" s="671"/>
      <c r="P25" s="672"/>
      <c r="Q25" s="89"/>
      <c r="R25" s="89"/>
      <c r="S25" s="671"/>
      <c r="T25" s="672"/>
      <c r="U25" s="671"/>
      <c r="V25" s="672"/>
      <c r="W25" s="89"/>
      <c r="X25" s="89"/>
      <c r="Y25" s="671"/>
      <c r="Z25" s="755"/>
      <c r="AA25" s="182"/>
      <c r="AB25" s="182"/>
      <c r="AC25" s="8"/>
      <c r="AD25" s="8"/>
      <c r="AE25" s="8"/>
      <c r="AF25" s="38"/>
      <c r="AG25" s="7"/>
      <c r="AH25" s="7"/>
      <c r="AI25" s="7"/>
      <c r="AJ25" s="7"/>
      <c r="AK25" s="39"/>
    </row>
    <row r="26" spans="1:37" ht="22.5" customHeight="1" thickBot="1">
      <c r="A26" s="665" t="s">
        <v>18</v>
      </c>
      <c r="B26" s="669" t="s">
        <v>19</v>
      </c>
      <c r="C26" s="670"/>
      <c r="D26" s="670"/>
      <c r="E26" s="670"/>
      <c r="F26" s="670"/>
      <c r="G26" s="670"/>
      <c r="H26" s="40">
        <f>H24+H25</f>
        <v>1196600.26</v>
      </c>
      <c r="I26" s="732">
        <f>J24</f>
        <v>1262030.6706800479</v>
      </c>
      <c r="J26" s="676"/>
      <c r="K26" s="677">
        <f>L24</f>
        <v>1241246.5559941353</v>
      </c>
      <c r="L26" s="678"/>
      <c r="M26" s="78"/>
      <c r="N26" s="78">
        <f>N24+N25</f>
        <v>1192884.0305999997</v>
      </c>
      <c r="O26" s="355">
        <f>P24</f>
        <v>1117728.860656536</v>
      </c>
      <c r="P26" s="354">
        <f>O26+O27</f>
        <v>1206147.610656536</v>
      </c>
      <c r="Q26" s="496"/>
      <c r="R26" s="496">
        <f>R24</f>
        <v>0</v>
      </c>
      <c r="S26" s="741">
        <f>T24</f>
        <v>1506489.4988799999</v>
      </c>
      <c r="T26" s="742"/>
      <c r="U26" s="741">
        <f>V24</f>
        <v>2088549.1242092294</v>
      </c>
      <c r="V26" s="742"/>
      <c r="W26" s="78"/>
      <c r="X26" s="78">
        <f>X24</f>
        <v>1340679.3728</v>
      </c>
      <c r="Y26" s="741">
        <f>Z24</f>
        <v>1267198.7120000001</v>
      </c>
      <c r="Z26" s="760"/>
      <c r="AA26" s="888">
        <f>AB24</f>
        <v>1523988.6925186813</v>
      </c>
      <c r="AB26" s="888"/>
      <c r="AC26" s="9"/>
      <c r="AD26" s="9"/>
      <c r="AE26" s="9"/>
      <c r="AF26" s="41"/>
      <c r="AG26" s="42"/>
      <c r="AH26" s="42"/>
      <c r="AI26" s="42"/>
      <c r="AJ26" s="42"/>
      <c r="AK26" s="43"/>
    </row>
    <row r="27" spans="1:37" ht="27" customHeight="1">
      <c r="A27" s="665"/>
      <c r="B27" s="647" t="s">
        <v>20</v>
      </c>
      <c r="C27" s="648"/>
      <c r="D27" s="648"/>
      <c r="E27" s="648"/>
      <c r="F27" s="648"/>
      <c r="G27" s="648"/>
      <c r="H27" s="733"/>
      <c r="I27" s="646"/>
      <c r="J27" s="645"/>
      <c r="K27" s="646"/>
      <c r="L27" s="645"/>
      <c r="M27" s="634"/>
      <c r="N27" s="635"/>
      <c r="O27" s="634">
        <f>(11750/8)*60.2</f>
        <v>88418.75</v>
      </c>
      <c r="P27" s="635"/>
      <c r="Q27" s="494"/>
      <c r="R27" s="494"/>
      <c r="S27" s="743"/>
      <c r="T27" s="744"/>
      <c r="U27" s="743"/>
      <c r="V27" s="744"/>
      <c r="W27" s="743"/>
      <c r="X27" s="744"/>
      <c r="Y27" s="743"/>
      <c r="Z27" s="889"/>
      <c r="AA27" s="890"/>
      <c r="AB27" s="889"/>
      <c r="AC27" s="74"/>
      <c r="AD27" s="12"/>
      <c r="AE27" s="12"/>
    </row>
    <row r="28" spans="1:37" ht="23.25" customHeight="1">
      <c r="A28" s="665"/>
      <c r="B28" s="647"/>
      <c r="C28" s="648"/>
      <c r="D28" s="648"/>
      <c r="E28" s="648"/>
      <c r="F28" s="648"/>
      <c r="G28" s="648"/>
      <c r="H28" s="733"/>
      <c r="I28" s="49" t="s">
        <v>21</v>
      </c>
      <c r="J28" s="148">
        <v>3</v>
      </c>
      <c r="K28" s="149" t="s">
        <v>21</v>
      </c>
      <c r="L28" s="148">
        <v>2</v>
      </c>
      <c r="M28" s="149" t="s">
        <v>21</v>
      </c>
      <c r="N28" s="148">
        <v>8</v>
      </c>
      <c r="O28" s="147" t="s">
        <v>21</v>
      </c>
      <c r="P28" s="148">
        <v>1</v>
      </c>
      <c r="Q28" s="147"/>
      <c r="R28" s="147"/>
      <c r="S28" s="147" t="s">
        <v>21</v>
      </c>
      <c r="T28" s="148">
        <v>5</v>
      </c>
      <c r="U28" s="147" t="s">
        <v>21</v>
      </c>
      <c r="V28" s="148">
        <v>7</v>
      </c>
      <c r="W28" s="147" t="s">
        <v>21</v>
      </c>
      <c r="X28" s="148">
        <v>4</v>
      </c>
      <c r="Y28" s="147" t="s">
        <v>21</v>
      </c>
      <c r="Z28" s="148">
        <v>9</v>
      </c>
      <c r="AA28" s="148" t="s">
        <v>21</v>
      </c>
      <c r="AB28" s="148">
        <f>6</f>
        <v>6</v>
      </c>
      <c r="AC28" s="74"/>
      <c r="AE28" s="10"/>
    </row>
    <row r="29" spans="1:37" ht="27.75" customHeight="1" thickBot="1">
      <c r="A29" s="674"/>
      <c r="B29" s="647" t="s">
        <v>22</v>
      </c>
      <c r="C29" s="648"/>
      <c r="D29" s="648"/>
      <c r="E29" s="648"/>
      <c r="F29" s="648"/>
      <c r="G29" s="648"/>
      <c r="H29" s="733"/>
      <c r="I29" s="102" t="s">
        <v>23</v>
      </c>
      <c r="J29" s="103">
        <f>IF(OR($H$26=0,I26=0),"-",I26-$H$26)</f>
        <v>65430.410680047935</v>
      </c>
      <c r="K29" s="102" t="s">
        <v>23</v>
      </c>
      <c r="L29" s="103">
        <f>IF(OR($H$26=0,K26=0),"-",K26-$H$26)</f>
        <v>44646.295994135318</v>
      </c>
      <c r="M29" s="102" t="s">
        <v>23</v>
      </c>
      <c r="N29" s="103">
        <f>IF(OR($H$26=0,N26=0),"-",N26-$H$26)</f>
        <v>-3716.2294000003021</v>
      </c>
      <c r="O29" s="102" t="s">
        <v>23</v>
      </c>
      <c r="P29" s="103">
        <f>O26-H26</f>
        <v>-78871.399343464058</v>
      </c>
      <c r="Q29" s="183"/>
      <c r="R29" s="183"/>
      <c r="S29" s="102" t="s">
        <v>23</v>
      </c>
      <c r="T29" s="103">
        <f>S26-H26</f>
        <v>309889.23887999984</v>
      </c>
      <c r="U29" s="102" t="s">
        <v>23</v>
      </c>
      <c r="V29" s="103">
        <f>U26-H26</f>
        <v>891948.86420922936</v>
      </c>
      <c r="W29" s="102" t="s">
        <v>23</v>
      </c>
      <c r="X29" s="103">
        <f>X26-H26</f>
        <v>144079.1128</v>
      </c>
      <c r="Y29" s="102" t="s">
        <v>23</v>
      </c>
      <c r="Z29" s="183">
        <f>Y26-H26</f>
        <v>70598.452000000048</v>
      </c>
      <c r="AA29" s="184" t="s">
        <v>23</v>
      </c>
      <c r="AB29" s="185">
        <f>AA26-H26</f>
        <v>327388.43251868128</v>
      </c>
      <c r="AC29" s="75"/>
      <c r="AD29" s="75"/>
      <c r="AE29" s="44"/>
    </row>
    <row r="30" spans="1:37" ht="24.95" customHeight="1">
      <c r="A30" s="7"/>
      <c r="B30" s="650" t="s">
        <v>51</v>
      </c>
      <c r="C30" s="651"/>
      <c r="D30" s="651"/>
      <c r="E30" s="651"/>
      <c r="F30" s="651"/>
      <c r="G30" s="651"/>
      <c r="H30" s="727"/>
      <c r="I30" s="738">
        <f>J29*77</f>
        <v>5038141.6223636912</v>
      </c>
      <c r="J30" s="654"/>
      <c r="K30" s="657">
        <f>L29*77</f>
        <v>3437764.7915484197</v>
      </c>
      <c r="L30" s="658"/>
      <c r="M30" s="657">
        <f>N29*77</f>
        <v>-286149.66380002326</v>
      </c>
      <c r="N30" s="658"/>
      <c r="O30" s="739">
        <f>P29*77</f>
        <v>-6073097.7494467329</v>
      </c>
      <c r="P30" s="740"/>
      <c r="Q30" s="552"/>
      <c r="R30" s="552"/>
      <c r="S30" s="657">
        <f>T29*77</f>
        <v>23861471.393759988</v>
      </c>
      <c r="T30" s="658"/>
      <c r="U30" s="657">
        <f>V29*77</f>
        <v>68680062.544110656</v>
      </c>
      <c r="V30" s="658"/>
      <c r="W30" s="657">
        <f>X29*77</f>
        <v>11094091.6856</v>
      </c>
      <c r="X30" s="658"/>
      <c r="Y30" s="657">
        <f>Z29*77</f>
        <v>5436080.8040000033</v>
      </c>
      <c r="Z30" s="658"/>
      <c r="AA30" s="657">
        <f>AB29*77</f>
        <v>25208909.30393846</v>
      </c>
      <c r="AB30" s="658"/>
      <c r="AC30" s="76"/>
      <c r="AD30" s="76"/>
      <c r="AE30" s="10"/>
    </row>
    <row r="31" spans="1:37" ht="24.95" customHeight="1">
      <c r="A31" s="7"/>
      <c r="B31" s="621" t="s">
        <v>20</v>
      </c>
      <c r="C31" s="622"/>
      <c r="D31" s="622"/>
      <c r="E31" s="622"/>
      <c r="F31" s="622"/>
      <c r="G31" s="622"/>
      <c r="H31" s="713"/>
      <c r="I31" s="663" t="str">
        <f>IF(OR($H$26=0,I26=0),"",IF(I26&lt;=$H$26,$C$55,$C$56))</f>
        <v>Precio mayor al presupuesto</v>
      </c>
      <c r="J31" s="660"/>
      <c r="K31" s="663" t="str">
        <f>IF(OR($H$26=0,K26=0),"",IF(K26&lt;=$H$26,$C$55,$C$56))</f>
        <v>Precio mayor al presupuesto</v>
      </c>
      <c r="L31" s="660"/>
      <c r="M31" s="663" t="str">
        <f>IF(OR($H$26=0,N26=0),"",IF(N26&lt;=$H$26,$C$55,$C$56))</f>
        <v>Precio menor o igual al presupuesto</v>
      </c>
      <c r="N31" s="660"/>
      <c r="O31" s="663" t="str">
        <f t="shared" ref="O31" si="10">IF(OR($H$26=0,O26=0),"",IF(O26&lt;=$H$26,$C$55,$C$56))</f>
        <v>Precio menor o igual al presupuesto</v>
      </c>
      <c r="P31" s="660"/>
      <c r="Q31" s="493"/>
      <c r="R31" s="493"/>
      <c r="S31" s="663" t="str">
        <f t="shared" ref="S31" si="11">IF(OR($H$26=0,S26=0),"",IF(S26&lt;=$H$26,$C$55,$C$56))</f>
        <v>Precio mayor al presupuesto</v>
      </c>
      <c r="T31" s="660"/>
      <c r="U31" s="663" t="str">
        <f t="shared" ref="U31" si="12">IF(OR($H$26=0,U26=0),"",IF(U26&lt;=$H$26,$C$55,$C$56))</f>
        <v>Precio mayor al presupuesto</v>
      </c>
      <c r="V31" s="660"/>
      <c r="W31" s="663" t="str">
        <f t="shared" ref="W31" si="13">IF(OR($H$26=0,X26=0),"",IF(X26&lt;=$H$26,$C$55,$C$56))</f>
        <v>Precio mayor al presupuesto</v>
      </c>
      <c r="X31" s="660"/>
      <c r="Y31" s="663" t="str">
        <f t="shared" ref="Y31" si="14">IF(OR($H$26=0,Y26=0),"",IF(Y26&lt;=$H$26,$C$55,$C$56))</f>
        <v>Precio mayor al presupuesto</v>
      </c>
      <c r="Z31" s="660"/>
      <c r="AA31" s="663" t="str">
        <f t="shared" ref="AA31" si="15">IF(OR($H$26=0,AA26=0),"",IF(AA26&lt;=$H$26,$C$55,$C$56))</f>
        <v>Precio mayor al presupuesto</v>
      </c>
      <c r="AB31" s="660"/>
      <c r="AC31" s="76"/>
      <c r="AD31" s="76"/>
      <c r="AE31" s="10"/>
    </row>
    <row r="32" spans="1:37" ht="24.95" customHeight="1">
      <c r="A32" s="7"/>
      <c r="B32" s="621"/>
      <c r="C32" s="622"/>
      <c r="D32" s="622"/>
      <c r="E32" s="622"/>
      <c r="F32" s="622"/>
      <c r="G32" s="622"/>
      <c r="H32" s="713"/>
      <c r="I32" s="108" t="s">
        <v>21</v>
      </c>
      <c r="J32" s="109">
        <f>IF(I31=$C$55,$F$55,0)</f>
        <v>0</v>
      </c>
      <c r="K32" s="108" t="s">
        <v>21</v>
      </c>
      <c r="L32" s="109">
        <f>IF(K31=$C$55,$F$55,0)</f>
        <v>0</v>
      </c>
      <c r="M32" s="108" t="s">
        <v>21</v>
      </c>
      <c r="N32" s="109">
        <f>IF(M31=$C$55,$F$55,0)</f>
        <v>2</v>
      </c>
      <c r="O32" s="108" t="s">
        <v>21</v>
      </c>
      <c r="P32" s="109">
        <f>IF(O31=$C$55,$F$55,0)</f>
        <v>2</v>
      </c>
      <c r="Q32" s="245"/>
      <c r="R32" s="245"/>
      <c r="S32" s="108" t="s">
        <v>21</v>
      </c>
      <c r="T32" s="109">
        <f t="shared" ref="T32" si="16">IF(S31=$C$55,$F$55,0)</f>
        <v>0</v>
      </c>
      <c r="U32" s="108" t="s">
        <v>21</v>
      </c>
      <c r="V32" s="109">
        <f t="shared" ref="V32" si="17">IF(U31=$C$55,$F$55,0)</f>
        <v>0</v>
      </c>
      <c r="W32" s="108" t="s">
        <v>21</v>
      </c>
      <c r="X32" s="109">
        <f t="shared" ref="X32" si="18">IF(W31=$C$55,$F$55,0)</f>
        <v>0</v>
      </c>
      <c r="Y32" s="108" t="s">
        <v>21</v>
      </c>
      <c r="Z32" s="109">
        <f t="shared" ref="Z32" si="19">IF(Y31=$C$55,$F$55,0)</f>
        <v>0</v>
      </c>
      <c r="AA32" s="108" t="s">
        <v>21</v>
      </c>
      <c r="AB32" s="109">
        <f t="shared" ref="AB32" si="20">IF(AA31=$C$55,$F$55,0)</f>
        <v>0</v>
      </c>
      <c r="AC32" s="76"/>
      <c r="AD32" s="76"/>
      <c r="AE32" s="10"/>
    </row>
    <row r="33" spans="1:31" ht="24.95" customHeight="1">
      <c r="A33" s="7"/>
      <c r="B33" s="621" t="s">
        <v>22</v>
      </c>
      <c r="C33" s="622"/>
      <c r="D33" s="622"/>
      <c r="E33" s="622"/>
      <c r="F33" s="622"/>
      <c r="G33" s="622"/>
      <c r="H33" s="713"/>
      <c r="I33" s="108" t="s">
        <v>23</v>
      </c>
      <c r="J33" s="101">
        <f>IF(OR($H$26=0,I26=0),"-",I26-$H$26)</f>
        <v>65430.410680047935</v>
      </c>
      <c r="K33" s="108" t="s">
        <v>23</v>
      </c>
      <c r="L33" s="101">
        <f>IF(OR($H$26=0,K26=0),"-",K26-$H$26)</f>
        <v>44646.295994135318</v>
      </c>
      <c r="M33" s="108" t="s">
        <v>23</v>
      </c>
      <c r="N33" s="101">
        <f>IF(OR($H$26=0,N26=0),"-",N26-$H$26)</f>
        <v>-3716.2294000003021</v>
      </c>
      <c r="O33" s="108" t="s">
        <v>23</v>
      </c>
      <c r="P33" s="101">
        <f>IF(OR($H$26=0,O26=0),"-",O26-$H$26)</f>
        <v>-78871.399343464058</v>
      </c>
      <c r="Q33" s="246"/>
      <c r="R33" s="246"/>
      <c r="S33" s="108" t="s">
        <v>23</v>
      </c>
      <c r="T33" s="101">
        <f>IF(OR($H$26=0,S26=0),"-",S26-$H$26)</f>
        <v>309889.23887999984</v>
      </c>
      <c r="U33" s="108" t="s">
        <v>23</v>
      </c>
      <c r="V33" s="101">
        <f>IF(OR($H$26=0,U26=0),"-",U26-$H$26)</f>
        <v>891948.86420922936</v>
      </c>
      <c r="W33" s="108" t="s">
        <v>23</v>
      </c>
      <c r="X33" s="101">
        <f>IF(OR($H$26=0,X26=0),"-",X26-$H$26)</f>
        <v>144079.1128</v>
      </c>
      <c r="Y33" s="108" t="s">
        <v>23</v>
      </c>
      <c r="Z33" s="101">
        <f>IF(OR($H$26=0,Y26=0),"-",Y26-$H$26)</f>
        <v>70598.452000000048</v>
      </c>
      <c r="AA33" s="108" t="s">
        <v>23</v>
      </c>
      <c r="AB33" s="101">
        <f>IF(OR($H$26=0,AA26=0),"-",AA26-$H$26)</f>
        <v>327388.43251868128</v>
      </c>
      <c r="AC33" s="76"/>
      <c r="AD33" s="76"/>
      <c r="AE33" s="10"/>
    </row>
    <row r="34" spans="1:31" ht="34.5" customHeight="1">
      <c r="A34" s="7"/>
      <c r="B34" s="621"/>
      <c r="C34" s="622"/>
      <c r="D34" s="622"/>
      <c r="E34" s="622"/>
      <c r="F34" s="622"/>
      <c r="G34" s="622"/>
      <c r="H34" s="713"/>
      <c r="I34" s="111" t="s">
        <v>21</v>
      </c>
      <c r="J34" s="50">
        <f>IF(AND(J33&lt;L33,J33&lt;N33,J33&lt;P33,J33&lt;T33,J33&lt;V33,J33&lt;X33,J33&lt;Z33,J33&lt;AB33),2,0)</f>
        <v>0</v>
      </c>
      <c r="K34" s="110" t="s">
        <v>21</v>
      </c>
      <c r="L34" s="50">
        <f>IF(AND(L33&lt;N33,L33&lt;P33,L33&lt;T33,L33&lt;V33,L33&lt;X33,L33&lt;Z33,L33&lt;AB33,L33&lt;J33),2,0)</f>
        <v>0</v>
      </c>
      <c r="M34" s="105" t="s">
        <v>21</v>
      </c>
      <c r="N34" s="50">
        <f>IF(AND(N33&lt;P33,N33&lt;T33,N33&lt;V33,N33&lt;X33,N33&lt;Z33,N33&lt;AB33,N33&lt;L33,N33&lt;J33),2,0)</f>
        <v>0</v>
      </c>
      <c r="O34" s="105" t="s">
        <v>21</v>
      </c>
      <c r="P34" s="50">
        <f>IF(AND(P33&lt;T33,P33&lt;V33,P33&lt;X33,P33&lt;Z33,P33&lt;AB33,P33&lt;J33,P33&lt;N33,P33&lt;L33),2,0)</f>
        <v>2</v>
      </c>
      <c r="Q34" s="247"/>
      <c r="R34" s="247"/>
      <c r="S34" s="105" t="s">
        <v>21</v>
      </c>
      <c r="T34" s="112">
        <f>IF(AND(T33&lt;V33,T33&lt;X33,T33&lt;Z33,T33&lt;AB33,T33&lt;J33,T33&lt;L33,T33&lt;P33,T33&lt;N33),2,0)</f>
        <v>0</v>
      </c>
      <c r="U34" s="105" t="s">
        <v>21</v>
      </c>
      <c r="V34" s="112">
        <f>IF(AND(V33&lt;X33,V33&lt;Z33,V33&lt;AB33,V33&lt;J33,V33&lt;L33,V33&lt;N33,V33&lt;T33,V33&lt;P33),2,0)</f>
        <v>0</v>
      </c>
      <c r="W34" s="105" t="s">
        <v>21</v>
      </c>
      <c r="X34" s="112">
        <f>IF(AND(X33&lt;Z33,X33&lt;AB33,X33&lt;J33,X33&lt;L33,X33&lt;N33,X33&lt;P33,X33&lt;V33,X33&lt;T33),2,0)</f>
        <v>0</v>
      </c>
      <c r="Y34" s="105" t="s">
        <v>21</v>
      </c>
      <c r="Z34" s="112">
        <f>IF(AND(Z33&lt;AB33,Z33&lt;J33,Z33&lt;L33,Z33&lt;N33,Z33&lt;P33,Z33&lt;T33,Z33&lt;X33,Z33&lt;V33),2,0)</f>
        <v>0</v>
      </c>
      <c r="AA34" s="105" t="s">
        <v>21</v>
      </c>
      <c r="AB34" s="112">
        <f>IF(AND(AB33&lt;J33,AB33&lt;L33,AB33&lt;N33,AB33&lt;P33,AB33&lt;T33,AB33&lt;V33,AB33&lt;Z33,AB33&lt;X33),2,0)</f>
        <v>0</v>
      </c>
      <c r="AC34" s="76"/>
      <c r="AD34" s="76"/>
      <c r="AE34" s="11"/>
    </row>
    <row r="35" spans="1:31" ht="34.5" customHeight="1">
      <c r="A35" s="7"/>
      <c r="B35" s="628" t="s">
        <v>53</v>
      </c>
      <c r="C35" s="629"/>
      <c r="D35" s="629"/>
      <c r="E35" s="629"/>
      <c r="F35" s="629"/>
      <c r="G35" s="629"/>
      <c r="H35" s="710"/>
      <c r="I35" s="642" t="str">
        <f>C62</f>
        <v>Por valuación de obra ejecutada con anticipo</v>
      </c>
      <c r="J35" s="643"/>
      <c r="K35" s="642" t="str">
        <f>C62</f>
        <v>Por valuación de obra ejecutada con anticipo</v>
      </c>
      <c r="L35" s="643"/>
      <c r="M35" s="642" t="str">
        <f>C62</f>
        <v>Por valuación de obra ejecutada con anticipo</v>
      </c>
      <c r="N35" s="643"/>
      <c r="O35" s="642" t="str">
        <f>C62</f>
        <v>Por valuación de obra ejecutada con anticipo</v>
      </c>
      <c r="P35" s="643"/>
      <c r="Q35" s="361"/>
      <c r="R35" s="361"/>
      <c r="S35" s="642" t="str">
        <f>C62</f>
        <v>Por valuación de obra ejecutada con anticipo</v>
      </c>
      <c r="T35" s="643"/>
      <c r="U35" s="642" t="str">
        <f>C62</f>
        <v>Por valuación de obra ejecutada con anticipo</v>
      </c>
      <c r="V35" s="643"/>
      <c r="W35" s="642" t="str">
        <f>C62</f>
        <v>Por valuación de obra ejecutada con anticipo</v>
      </c>
      <c r="X35" s="643"/>
      <c r="Y35" s="642" t="str">
        <f>C62</f>
        <v>Por valuación de obra ejecutada con anticipo</v>
      </c>
      <c r="Z35" s="643"/>
      <c r="AA35" s="642" t="str">
        <f>C62</f>
        <v>Por valuación de obra ejecutada con anticipo</v>
      </c>
      <c r="AB35" s="643"/>
      <c r="AC35" s="76"/>
      <c r="AD35" s="76"/>
      <c r="AE35" s="11"/>
    </row>
    <row r="36" spans="1:31" ht="24.95" customHeight="1">
      <c r="B36" s="638"/>
      <c r="C36" s="639"/>
      <c r="D36" s="639"/>
      <c r="E36" s="639"/>
      <c r="F36" s="639"/>
      <c r="G36" s="639"/>
      <c r="H36" s="711"/>
      <c r="I36" s="113" t="s">
        <v>21</v>
      </c>
      <c r="J36" s="114">
        <v>2</v>
      </c>
      <c r="K36" s="113" t="s">
        <v>21</v>
      </c>
      <c r="L36" s="114">
        <v>2</v>
      </c>
      <c r="M36" s="113" t="s">
        <v>21</v>
      </c>
      <c r="N36" s="114">
        <v>2</v>
      </c>
      <c r="O36" s="113" t="s">
        <v>21</v>
      </c>
      <c r="P36" s="114">
        <v>2</v>
      </c>
      <c r="Q36" s="287"/>
      <c r="R36" s="287"/>
      <c r="S36" s="113" t="s">
        <v>21</v>
      </c>
      <c r="T36" s="114">
        <v>2</v>
      </c>
      <c r="U36" s="113" t="s">
        <v>21</v>
      </c>
      <c r="V36" s="114">
        <v>2</v>
      </c>
      <c r="W36" s="113" t="s">
        <v>21</v>
      </c>
      <c r="X36" s="114">
        <v>2</v>
      </c>
      <c r="Y36" s="113" t="s">
        <v>21</v>
      </c>
      <c r="Z36" s="114">
        <v>2</v>
      </c>
      <c r="AA36" s="113" t="s">
        <v>21</v>
      </c>
      <c r="AB36" s="114">
        <v>2</v>
      </c>
      <c r="AC36" s="10"/>
      <c r="AD36" s="10"/>
      <c r="AE36" s="10"/>
    </row>
    <row r="37" spans="1:31" ht="24.95" customHeight="1">
      <c r="B37" s="640"/>
      <c r="C37" s="641"/>
      <c r="D37" s="641"/>
      <c r="E37" s="641"/>
      <c r="F37" s="641"/>
      <c r="G37" s="641"/>
      <c r="H37" s="712"/>
      <c r="I37" s="113"/>
      <c r="J37" s="114"/>
      <c r="K37" s="113"/>
      <c r="L37" s="114"/>
      <c r="M37" s="113"/>
      <c r="N37" s="114"/>
      <c r="O37" s="113"/>
      <c r="P37" s="114"/>
      <c r="Q37" s="287"/>
      <c r="R37" s="287"/>
      <c r="S37" s="113"/>
      <c r="T37" s="114"/>
      <c r="U37" s="113"/>
      <c r="V37" s="114"/>
      <c r="W37" s="113"/>
      <c r="X37" s="114"/>
      <c r="Y37" s="113"/>
      <c r="Z37" s="114"/>
      <c r="AA37" s="113"/>
      <c r="AB37" s="114"/>
      <c r="AC37" s="10"/>
      <c r="AD37" s="10"/>
      <c r="AE37" s="10"/>
    </row>
    <row r="38" spans="1:31" ht="24.95" customHeight="1">
      <c r="B38" s="621" t="s">
        <v>54</v>
      </c>
      <c r="C38" s="622"/>
      <c r="D38" s="622"/>
      <c r="E38" s="622"/>
      <c r="F38" s="622"/>
      <c r="G38" s="622"/>
      <c r="H38" s="713"/>
      <c r="I38" s="624" t="str">
        <f>C68</f>
        <v>A los 30 días</v>
      </c>
      <c r="J38" s="625"/>
      <c r="K38" s="624" t="str">
        <f>C68</f>
        <v>A los 30 días</v>
      </c>
      <c r="L38" s="625"/>
      <c r="M38" s="624" t="str">
        <f>C69</f>
        <v>A los 60 días</v>
      </c>
      <c r="N38" s="625"/>
      <c r="O38" s="624" t="str">
        <f>C68</f>
        <v>A los 30 días</v>
      </c>
      <c r="P38" s="625"/>
      <c r="Q38" s="247"/>
      <c r="R38" s="247"/>
      <c r="S38" s="624" t="str">
        <f>C69</f>
        <v>A los 60 días</v>
      </c>
      <c r="T38" s="625"/>
      <c r="U38" s="624" t="str">
        <f>C69</f>
        <v>A los 60 días</v>
      </c>
      <c r="V38" s="625"/>
      <c r="W38" s="624" t="str">
        <f>C69</f>
        <v>A los 60 días</v>
      </c>
      <c r="X38" s="625"/>
      <c r="Y38" s="624" t="str">
        <f>C69</f>
        <v>A los 60 días</v>
      </c>
      <c r="Z38" s="625"/>
      <c r="AA38" s="624" t="str">
        <f>C69</f>
        <v>A los 60 días</v>
      </c>
      <c r="AB38" s="625"/>
      <c r="AC38" s="10"/>
      <c r="AD38" s="10"/>
      <c r="AE38" s="10"/>
    </row>
    <row r="39" spans="1:31" ht="47.25" customHeight="1">
      <c r="B39" s="621"/>
      <c r="C39" s="622"/>
      <c r="D39" s="622"/>
      <c r="E39" s="622"/>
      <c r="F39" s="622"/>
      <c r="G39" s="622"/>
      <c r="H39" s="713"/>
      <c r="I39" s="106" t="s">
        <v>21</v>
      </c>
      <c r="J39" s="112">
        <f>IF(I38=$C$66,$F$66,IF(I38=$C$67,$F$67,IF(I38=$C$68,$F$68,IF(I38=$C$69,F69,0))))</f>
        <v>1</v>
      </c>
      <c r="K39" s="115" t="s">
        <v>21</v>
      </c>
      <c r="L39" s="116">
        <f t="shared" ref="L39" si="21">IF(K38=$C$66,$F$66,IF(K38=$C$67,$F$67,IF(K38=$C$68,$F$68,0)))</f>
        <v>1</v>
      </c>
      <c r="M39" s="115" t="s">
        <v>21</v>
      </c>
      <c r="N39" s="116">
        <f t="shared" ref="N39" si="22">IF(M38=$C$66,$F$66,IF(M38=$C$67,$F$67,IF(M38=$C$68,$F$68,0)))</f>
        <v>0</v>
      </c>
      <c r="O39" s="115" t="s">
        <v>21</v>
      </c>
      <c r="P39" s="117">
        <f t="shared" ref="P39" si="23">IF(O38=$C$66,$F$66,IF(O38=$C$67,$F$67,IF(O38=$C$68,$F$68,0)))</f>
        <v>1</v>
      </c>
      <c r="Q39" s="253"/>
      <c r="R39" s="253"/>
      <c r="S39" s="115" t="s">
        <v>21</v>
      </c>
      <c r="T39" s="116">
        <f t="shared" ref="T39" si="24">IF(S38=$C$66,$F$66,IF(S38=$C$67,$F$67,IF(S38=$C$68,$F$68,0)))</f>
        <v>0</v>
      </c>
      <c r="U39" s="115" t="s">
        <v>21</v>
      </c>
      <c r="V39" s="116">
        <f t="shared" ref="V39" si="25">IF(U38=$C$66,$F$66,IF(U38=$C$67,$F$67,IF(U38=$C$68,$F$68,0)))</f>
        <v>0</v>
      </c>
      <c r="W39" s="115" t="s">
        <v>21</v>
      </c>
      <c r="X39" s="117">
        <f t="shared" ref="X39" si="26">IF(W38=$C$66,$F$66,IF(W38=$C$67,$F$67,IF(W38=$C$68,$F$68,0)))</f>
        <v>0</v>
      </c>
      <c r="Y39" s="115" t="s">
        <v>21</v>
      </c>
      <c r="Z39" s="117">
        <f t="shared" ref="Z39" si="27">IF(Y38=$C$66,$F$66,IF(Y38=$C$67,$F$67,IF(Y38=$C$68,$F$68,0)))</f>
        <v>0</v>
      </c>
      <c r="AA39" s="115" t="s">
        <v>21</v>
      </c>
      <c r="AB39" s="116">
        <f t="shared" ref="AB39" si="28">IF(AA38=$C$66,$F$66,IF(AA38=$C$67,$F$67,IF(AA38=$C$68,$F$68,0)))</f>
        <v>0</v>
      </c>
      <c r="AC39" s="11"/>
      <c r="AD39" s="11"/>
      <c r="AE39" s="11"/>
    </row>
    <row r="40" spans="1:31" ht="33.75" customHeight="1">
      <c r="B40" s="621" t="s">
        <v>56</v>
      </c>
      <c r="C40" s="622"/>
      <c r="D40" s="622"/>
      <c r="E40" s="622"/>
      <c r="F40" s="622"/>
      <c r="G40" s="622"/>
      <c r="H40" s="713"/>
      <c r="I40" s="626" t="s">
        <v>45</v>
      </c>
      <c r="J40" s="627"/>
      <c r="K40" s="626" t="s">
        <v>45</v>
      </c>
      <c r="L40" s="627"/>
      <c r="M40" s="626" t="s">
        <v>45</v>
      </c>
      <c r="N40" s="627"/>
      <c r="O40" s="626" t="s">
        <v>45</v>
      </c>
      <c r="P40" s="627"/>
      <c r="Q40" s="360"/>
      <c r="R40" s="360"/>
      <c r="S40" s="626" t="s">
        <v>45</v>
      </c>
      <c r="T40" s="627"/>
      <c r="U40" s="626" t="s">
        <v>45</v>
      </c>
      <c r="V40" s="627"/>
      <c r="W40" s="626" t="s">
        <v>45</v>
      </c>
      <c r="X40" s="627"/>
      <c r="Y40" s="626" t="s">
        <v>45</v>
      </c>
      <c r="Z40" s="627"/>
      <c r="AA40" s="626" t="s">
        <v>45</v>
      </c>
      <c r="AB40" s="627"/>
      <c r="AC40" s="11"/>
      <c r="AD40" s="11"/>
      <c r="AE40" s="11"/>
    </row>
    <row r="41" spans="1:31" ht="30" customHeight="1">
      <c r="B41" s="621"/>
      <c r="C41" s="622"/>
      <c r="D41" s="622"/>
      <c r="E41" s="622"/>
      <c r="F41" s="622"/>
      <c r="G41" s="622"/>
      <c r="H41" s="713"/>
      <c r="I41" s="51" t="s">
        <v>21</v>
      </c>
      <c r="J41" s="118">
        <f>IF(I40=$C$71,$F$71,0)</f>
        <v>2</v>
      </c>
      <c r="K41" s="51" t="s">
        <v>21</v>
      </c>
      <c r="L41" s="118">
        <f t="shared" ref="L41" si="29">IF(K40=$C$71,$F$71,0)</f>
        <v>2</v>
      </c>
      <c r="M41" s="51" t="s">
        <v>21</v>
      </c>
      <c r="N41" s="118">
        <f t="shared" ref="N41" si="30">IF(M40=$C$71,$F$71,0)</f>
        <v>2</v>
      </c>
      <c r="O41" s="51" t="s">
        <v>21</v>
      </c>
      <c r="P41" s="118">
        <f t="shared" ref="P41" si="31">IF(O40=$C$71,$F$71,0)</f>
        <v>2</v>
      </c>
      <c r="Q41" s="253"/>
      <c r="R41" s="253"/>
      <c r="S41" s="51" t="s">
        <v>21</v>
      </c>
      <c r="T41" s="186">
        <f t="shared" ref="T41" si="32">IF(S40=$C$71,$F$71,0)</f>
        <v>2</v>
      </c>
      <c r="U41" s="51" t="s">
        <v>21</v>
      </c>
      <c r="V41" s="118">
        <f t="shared" ref="V41" si="33">IF(U40=$C$71,$F$71,0)</f>
        <v>2</v>
      </c>
      <c r="W41" s="51" t="s">
        <v>21</v>
      </c>
      <c r="X41" s="118">
        <f t="shared" ref="X41" si="34">IF(W40=$C$71,$F$71,0)</f>
        <v>2</v>
      </c>
      <c r="Y41" s="51" t="s">
        <v>21</v>
      </c>
      <c r="Z41" s="118">
        <f t="shared" ref="Z41" si="35">IF(Y40=$C$71,$F$71,0)</f>
        <v>2</v>
      </c>
      <c r="AA41" s="51" t="s">
        <v>21</v>
      </c>
      <c r="AB41" s="118">
        <f t="shared" ref="AB41" si="36">IF(AA40=$C$71,$F$71,0)</f>
        <v>2</v>
      </c>
      <c r="AC41" s="12"/>
      <c r="AD41" s="12"/>
      <c r="AE41" s="12"/>
    </row>
    <row r="42" spans="1:31" ht="30" customHeight="1">
      <c r="B42" s="628" t="s">
        <v>57</v>
      </c>
      <c r="C42" s="629"/>
      <c r="D42" s="629"/>
      <c r="E42" s="629"/>
      <c r="F42" s="629"/>
      <c r="G42" s="629"/>
      <c r="H42" s="710"/>
      <c r="I42" s="634" t="str">
        <f>C74</f>
        <v>Excelente</v>
      </c>
      <c r="J42" s="635"/>
      <c r="K42" s="634" t="str">
        <f>C74</f>
        <v>Excelente</v>
      </c>
      <c r="L42" s="635"/>
      <c r="M42" s="634" t="str">
        <f>C75</f>
        <v>Medio</v>
      </c>
      <c r="N42" s="635"/>
      <c r="O42" s="634" t="str">
        <f>C74</f>
        <v>Excelente</v>
      </c>
      <c r="P42" s="635"/>
      <c r="Q42" s="49"/>
      <c r="R42" s="49"/>
      <c r="S42" s="634" t="str">
        <f>C74</f>
        <v>Excelente</v>
      </c>
      <c r="T42" s="635"/>
      <c r="U42" s="634" t="str">
        <f>C74</f>
        <v>Excelente</v>
      </c>
      <c r="V42" s="635"/>
      <c r="W42" s="634" t="str">
        <f>C74</f>
        <v>Excelente</v>
      </c>
      <c r="X42" s="635"/>
      <c r="Y42" s="634" t="str">
        <f>C75</f>
        <v>Medio</v>
      </c>
      <c r="Z42" s="635"/>
      <c r="AA42" s="634" t="str">
        <f>C74</f>
        <v>Excelente</v>
      </c>
      <c r="AB42" s="635"/>
      <c r="AC42" s="12"/>
      <c r="AD42" s="12"/>
      <c r="AE42" s="12"/>
    </row>
    <row r="43" spans="1:31" ht="24.95" customHeight="1" thickBot="1">
      <c r="B43" s="630"/>
      <c r="C43" s="631"/>
      <c r="D43" s="631"/>
      <c r="E43" s="631"/>
      <c r="F43" s="631"/>
      <c r="G43" s="631"/>
      <c r="H43" s="737"/>
      <c r="I43" s="122" t="s">
        <v>21</v>
      </c>
      <c r="J43" s="123">
        <f>IF(I42=$C$74,$F$74,IF(I42=$C$75,$F$75,0))</f>
        <v>2</v>
      </c>
      <c r="K43" s="124" t="s">
        <v>21</v>
      </c>
      <c r="L43" s="123">
        <f>IF(K42=$C$74,$F$74,IF(K42=$C$75,$F$75,0))</f>
        <v>2</v>
      </c>
      <c r="M43" s="124" t="s">
        <v>21</v>
      </c>
      <c r="N43" s="125">
        <f>IF(M42=$C$74,$F$74,IF(M42=$C$75,$F$75,0))</f>
        <v>0</v>
      </c>
      <c r="O43" s="124" t="s">
        <v>21</v>
      </c>
      <c r="P43" s="126">
        <f>IF(O42=$C$74,$F$74,IF(O42=$C$75,$F$75,0))</f>
        <v>2</v>
      </c>
      <c r="Q43" s="497"/>
      <c r="R43" s="497"/>
      <c r="S43" s="187" t="s">
        <v>21</v>
      </c>
      <c r="T43" s="188">
        <f>IF(S42=$C$74,$F$74,IF(S42=$C$75,$F$75,0))</f>
        <v>2</v>
      </c>
      <c r="U43" s="187" t="s">
        <v>21</v>
      </c>
      <c r="V43" s="189">
        <f t="shared" ref="V43" si="37">IF(U42=$C$74,$F$74,IF(U42=$C$75,$F$75,0))</f>
        <v>2</v>
      </c>
      <c r="W43" s="190" t="s">
        <v>21</v>
      </c>
      <c r="X43" s="191">
        <f t="shared" ref="X43" si="38">IF(W42=$C$74,$F$74,IF(W42=$C$75,$F$75,0))</f>
        <v>2</v>
      </c>
      <c r="Y43" s="192" t="s">
        <v>21</v>
      </c>
      <c r="Z43" s="193">
        <f t="shared" ref="Z43" si="39">IF(Y42=$C$74,$F$74,IF(Y42=$C$75,$F$75,0))</f>
        <v>0</v>
      </c>
      <c r="AA43" s="192" t="s">
        <v>21</v>
      </c>
      <c r="AB43" s="193">
        <f t="shared" ref="AB43" si="40">IF(AA42=$C$74,$F$74,IF(AA42=$C$75,$F$75,0))</f>
        <v>2</v>
      </c>
      <c r="AC43" s="12"/>
      <c r="AD43" s="12"/>
      <c r="AE43" s="12"/>
    </row>
    <row r="44" spans="1:31" ht="24.95" customHeight="1" thickBot="1">
      <c r="B44" s="119"/>
      <c r="C44" s="120"/>
      <c r="D44" s="120"/>
      <c r="E44" s="120"/>
      <c r="F44" s="120"/>
      <c r="G44" s="120"/>
      <c r="H44" s="121"/>
      <c r="I44" s="133"/>
      <c r="J44" s="134"/>
      <c r="K44" s="135"/>
      <c r="L44" s="134"/>
      <c r="M44" s="135"/>
      <c r="N44" s="136"/>
      <c r="O44" s="135"/>
      <c r="P44" s="137"/>
      <c r="Q44" s="292"/>
      <c r="R44" s="292"/>
      <c r="S44" s="194"/>
      <c r="T44" s="195"/>
      <c r="U44" s="194"/>
      <c r="V44" s="196"/>
      <c r="W44" s="9"/>
      <c r="X44" s="197"/>
      <c r="Y44" s="9"/>
      <c r="Z44" s="196"/>
      <c r="AA44" s="9"/>
      <c r="AB44" s="196"/>
      <c r="AC44" s="12"/>
      <c r="AD44" s="12"/>
      <c r="AE44" s="12"/>
    </row>
    <row r="45" spans="1:31" ht="24.95" customHeight="1" thickBot="1">
      <c r="B45" s="119"/>
      <c r="C45" s="120"/>
      <c r="D45" s="120"/>
      <c r="E45" s="120"/>
      <c r="F45" s="120"/>
      <c r="G45" s="120"/>
      <c r="H45" s="121"/>
      <c r="I45" s="133"/>
      <c r="J45" s="134"/>
      <c r="K45" s="135"/>
      <c r="L45" s="134"/>
      <c r="M45" s="135"/>
      <c r="N45" s="136"/>
      <c r="O45" s="135"/>
      <c r="P45" s="137"/>
      <c r="Q45" s="292"/>
      <c r="R45" s="292"/>
      <c r="S45" s="194"/>
      <c r="T45" s="195"/>
      <c r="U45" s="194"/>
      <c r="V45" s="196"/>
      <c r="W45" s="9"/>
      <c r="X45" s="197"/>
      <c r="Y45" s="9"/>
      <c r="Z45" s="196"/>
      <c r="AA45" s="9"/>
      <c r="AB45" s="196"/>
      <c r="AC45" s="12"/>
      <c r="AD45" s="12"/>
      <c r="AE45" s="12"/>
    </row>
    <row r="46" spans="1:31" ht="24.95" customHeight="1" thickBot="1">
      <c r="B46" s="636" t="s">
        <v>62</v>
      </c>
      <c r="C46" s="637"/>
      <c r="D46" s="637"/>
      <c r="E46" s="637"/>
      <c r="F46" s="637"/>
      <c r="G46" s="637"/>
      <c r="H46" s="720"/>
      <c r="I46" s="127"/>
      <c r="J46" s="131">
        <f>J32+J34+J36+J39+J41+J43</f>
        <v>7</v>
      </c>
      <c r="K46" s="129"/>
      <c r="L46" s="132">
        <f>L32+L34+L36+L39+L41+L43</f>
        <v>7</v>
      </c>
      <c r="M46" s="130"/>
      <c r="N46" s="142">
        <f>N32+N34+N36+N39+N41+N43</f>
        <v>6</v>
      </c>
      <c r="O46" s="27"/>
      <c r="P46" s="142">
        <f>P32+P34+P36+P39+P41+P43</f>
        <v>11</v>
      </c>
      <c r="Q46" s="198"/>
      <c r="R46" s="198"/>
      <c r="S46" s="27"/>
      <c r="T46" s="142">
        <f>T32+T34+T36+T39+T41+T43</f>
        <v>6</v>
      </c>
      <c r="U46" s="198"/>
      <c r="V46" s="142">
        <f>V32+V34+V36+V39+V41+V43</f>
        <v>6</v>
      </c>
      <c r="W46" s="198"/>
      <c r="X46" s="142">
        <f>X32+X34+X36+X39+X41+X43</f>
        <v>6</v>
      </c>
      <c r="Y46" s="198"/>
      <c r="Z46" s="142">
        <f>Z32+Z34+Z36+Z39+Z41+Z43</f>
        <v>4</v>
      </c>
      <c r="AA46" s="198"/>
      <c r="AB46" s="142">
        <f>AB32+AB34+AB36+AB39+AB41+AB43</f>
        <v>6</v>
      </c>
      <c r="AC46" s="6"/>
      <c r="AD46" s="6"/>
      <c r="AE46" s="6"/>
    </row>
    <row r="47" spans="1:31" ht="24.95" customHeight="1" thickBot="1">
      <c r="B47" s="620" t="s">
        <v>61</v>
      </c>
      <c r="C47" s="620"/>
      <c r="D47" s="620"/>
      <c r="E47" s="620"/>
      <c r="F47" s="620"/>
      <c r="G47" s="620"/>
      <c r="H47" s="620"/>
      <c r="I47" s="131"/>
      <c r="J47" s="128">
        <v>9</v>
      </c>
      <c r="K47" s="131"/>
      <c r="L47" s="128">
        <v>10</v>
      </c>
      <c r="M47" s="138"/>
      <c r="N47" s="140">
        <v>8</v>
      </c>
      <c r="O47" s="139"/>
      <c r="P47" s="141">
        <v>10</v>
      </c>
      <c r="Q47" s="141"/>
      <c r="R47" s="141"/>
      <c r="S47" s="139"/>
      <c r="T47" s="141">
        <v>10</v>
      </c>
      <c r="U47" s="141"/>
      <c r="V47" s="141">
        <v>10</v>
      </c>
      <c r="W47" s="141"/>
      <c r="X47" s="140">
        <v>10</v>
      </c>
      <c r="Y47" s="141"/>
      <c r="Z47" s="140">
        <v>9</v>
      </c>
      <c r="AA47" s="139"/>
      <c r="AB47" s="199">
        <v>10</v>
      </c>
      <c r="AC47" s="6"/>
      <c r="AD47" s="6"/>
      <c r="AE47" s="6"/>
    </row>
    <row r="48" spans="1:31" ht="24.95" customHeight="1" thickBot="1">
      <c r="B48" s="616" t="s">
        <v>63</v>
      </c>
      <c r="C48" s="616"/>
      <c r="D48" s="616"/>
      <c r="E48" s="616"/>
      <c r="F48" s="616"/>
      <c r="G48" s="616"/>
      <c r="H48" s="616"/>
      <c r="I48" s="107"/>
      <c r="J48" s="145">
        <f>J46+J47</f>
        <v>16</v>
      </c>
      <c r="K48" s="24"/>
      <c r="L48" s="145">
        <f>L46+L47</f>
        <v>17</v>
      </c>
      <c r="M48" s="146"/>
      <c r="N48" s="144">
        <f>N46+N47</f>
        <v>14</v>
      </c>
      <c r="O48" s="143"/>
      <c r="P48" s="144">
        <f>P46+P47</f>
        <v>21</v>
      </c>
      <c r="Q48" s="498"/>
      <c r="R48" s="498"/>
      <c r="S48" s="143"/>
      <c r="T48" s="144">
        <f>T46+T47</f>
        <v>16</v>
      </c>
      <c r="U48" s="143"/>
      <c r="V48" s="144">
        <f>V46+V47</f>
        <v>16</v>
      </c>
      <c r="W48" s="143"/>
      <c r="X48" s="144">
        <f>X46+X47</f>
        <v>16</v>
      </c>
      <c r="Y48" s="143"/>
      <c r="Z48" s="144">
        <f>Z46+Z47</f>
        <v>13</v>
      </c>
      <c r="AA48" s="143"/>
      <c r="AB48" s="144">
        <f>AB46+AB47</f>
        <v>16</v>
      </c>
      <c r="AC48" s="6"/>
      <c r="AD48" s="6"/>
      <c r="AE48" s="6"/>
    </row>
    <row r="49" spans="1:31" ht="24.95" customHeight="1">
      <c r="B49" s="69"/>
      <c r="C49" s="70" t="s">
        <v>24</v>
      </c>
      <c r="D49" s="71"/>
      <c r="E49" s="70" t="s">
        <v>25</v>
      </c>
      <c r="F49" s="71"/>
      <c r="G49" s="69"/>
      <c r="H49" s="69"/>
      <c r="I49" s="72" t="str">
        <f>IF($H$26&gt;(3000*$I$54),"COORDINADOR DE PROYECTOS","")</f>
        <v>COORDINADOR DE PROYECTOS</v>
      </c>
      <c r="J49" s="69"/>
      <c r="K49" s="69"/>
      <c r="L49" s="73" t="str">
        <f>IF($H$26&gt;(7500*$I$54),"GERENTE TÉCNICO","")</f>
        <v>GERENTE TÉCNICO</v>
      </c>
      <c r="O49" s="45"/>
      <c r="P49" s="99"/>
      <c r="Q49" s="99"/>
      <c r="R49" s="99"/>
      <c r="S49" s="45"/>
      <c r="T49" s="45"/>
      <c r="U49" s="45"/>
      <c r="V49" s="200"/>
      <c r="W49" s="200"/>
      <c r="Y49" s="201"/>
      <c r="Z49" s="45"/>
      <c r="AA49" s="45"/>
      <c r="AB49" s="45"/>
      <c r="AC49" s="45"/>
      <c r="AD49" s="45"/>
      <c r="AE49" s="45"/>
    </row>
    <row r="50" spans="1:31" ht="24.95" customHeight="1">
      <c r="B50" s="26"/>
      <c r="C50" s="22"/>
      <c r="D50" s="26"/>
      <c r="E50" s="48" t="s">
        <v>4</v>
      </c>
      <c r="F50" s="26"/>
      <c r="G50" s="26"/>
      <c r="H50" s="26"/>
      <c r="I50" s="26" t="str">
        <f>IF(I49&lt;&gt;"","FECHA:","")</f>
        <v>FECHA:</v>
      </c>
      <c r="J50" s="26"/>
      <c r="K50" s="26"/>
      <c r="L50" s="48" t="str">
        <f>IF(L49&lt;&gt;"","FECHA:","")</f>
        <v>FECHA:</v>
      </c>
      <c r="N50" s="73"/>
      <c r="P50" s="46"/>
      <c r="Q50" s="46"/>
      <c r="R50" s="46"/>
      <c r="S50" s="46"/>
      <c r="T50" s="46"/>
      <c r="U50" s="46"/>
      <c r="V50" s="202"/>
      <c r="W50" s="202"/>
      <c r="X50" s="200"/>
      <c r="Z50" s="46"/>
      <c r="AA50" s="46"/>
      <c r="AB50" s="46"/>
      <c r="AC50" s="46"/>
      <c r="AD50" s="46"/>
      <c r="AE50" s="46"/>
    </row>
    <row r="51" spans="1:31" ht="24.95" customHeight="1">
      <c r="B51" s="47"/>
      <c r="C51" s="47"/>
      <c r="H51" s="104"/>
      <c r="L51" s="100"/>
      <c r="O51" s="46"/>
      <c r="Y51" s="203"/>
    </row>
    <row r="52" spans="1:31" ht="24.95" customHeight="1">
      <c r="M52" s="91"/>
      <c r="O52" s="357">
        <f>1358.42</f>
        <v>1358.42</v>
      </c>
      <c r="P52" s="80">
        <f>O52/8</f>
        <v>169.80250000000001</v>
      </c>
      <c r="Q52" s="80"/>
      <c r="R52" s="80"/>
    </row>
    <row r="53" spans="1:31" ht="24.95" customHeight="1">
      <c r="C53" s="617" t="s">
        <v>26</v>
      </c>
      <c r="D53" s="618"/>
      <c r="E53" s="619"/>
      <c r="F53" s="13" t="s">
        <v>27</v>
      </c>
      <c r="H53" s="65" t="s">
        <v>28</v>
      </c>
      <c r="I53" s="66">
        <f ca="1">TODAY()</f>
        <v>46233</v>
      </c>
      <c r="J53" s="6"/>
      <c r="K53" s="14"/>
      <c r="L53"/>
      <c r="M53"/>
      <c r="N53"/>
      <c r="O53" s="6"/>
      <c r="P53" s="358">
        <f>P52*61.75</f>
        <v>10485.304375</v>
      </c>
      <c r="Q53" s="358"/>
      <c r="R53" s="358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24.95" customHeight="1">
      <c r="C54" s="610" t="s">
        <v>29</v>
      </c>
      <c r="D54" s="611"/>
      <c r="E54" s="611"/>
      <c r="F54" s="52"/>
      <c r="H54" s="67" t="s">
        <v>30</v>
      </c>
      <c r="I54" s="68"/>
      <c r="P54" s="359">
        <f>P24+P53</f>
        <v>1128214.165031536</v>
      </c>
      <c r="Q54" s="359"/>
      <c r="R54" s="359"/>
    </row>
    <row r="55" spans="1:31" ht="24.95" customHeight="1">
      <c r="B55" s="7"/>
      <c r="C55" s="53" t="s">
        <v>31</v>
      </c>
      <c r="D55" s="54"/>
      <c r="E55" s="55"/>
      <c r="F55" s="56">
        <v>2</v>
      </c>
    </row>
    <row r="56" spans="1:31" ht="24.95" customHeight="1">
      <c r="B56" s="7"/>
      <c r="C56" s="57" t="s">
        <v>32</v>
      </c>
      <c r="D56" s="58"/>
      <c r="E56" s="59"/>
      <c r="F56" s="60">
        <v>0</v>
      </c>
      <c r="H56" s="15"/>
      <c r="I56" s="80"/>
      <c r="J56" s="79"/>
    </row>
    <row r="57" spans="1:31" ht="24.95" customHeight="1">
      <c r="C57" s="610" t="s">
        <v>33</v>
      </c>
      <c r="D57" s="611"/>
      <c r="E57" s="611"/>
      <c r="F57" s="52"/>
      <c r="I57" s="80"/>
      <c r="J57" s="79"/>
    </row>
    <row r="58" spans="1:31" ht="24.95" customHeight="1">
      <c r="B58" s="7"/>
      <c r="C58" s="53" t="s">
        <v>34</v>
      </c>
      <c r="D58" s="54"/>
      <c r="E58" s="55"/>
      <c r="F58" s="56">
        <v>2</v>
      </c>
    </row>
    <row r="59" spans="1:31" ht="24.95" customHeight="1">
      <c r="B59" s="7"/>
      <c r="C59" s="57" t="s">
        <v>35</v>
      </c>
      <c r="D59" s="58"/>
      <c r="E59" s="59"/>
      <c r="F59" s="60">
        <v>0</v>
      </c>
    </row>
    <row r="60" spans="1:31" ht="24.95" customHeight="1">
      <c r="A60" s="6"/>
      <c r="C60" s="610" t="s">
        <v>36</v>
      </c>
      <c r="D60" s="611"/>
      <c r="E60" s="611"/>
      <c r="F60" s="52"/>
    </row>
    <row r="61" spans="1:31" ht="24.95" customHeight="1">
      <c r="C61" s="57" t="s">
        <v>37</v>
      </c>
      <c r="D61" s="58"/>
      <c r="E61" s="59"/>
      <c r="F61" s="60">
        <v>3</v>
      </c>
      <c r="H61" s="6"/>
    </row>
    <row r="62" spans="1:31" ht="24.95" customHeight="1">
      <c r="C62" s="57" t="s">
        <v>38</v>
      </c>
      <c r="D62" s="58"/>
      <c r="E62" s="59"/>
      <c r="F62" s="60">
        <v>2</v>
      </c>
      <c r="H62" s="6"/>
    </row>
    <row r="63" spans="1:31" ht="24.95" customHeight="1">
      <c r="C63" s="57" t="s">
        <v>39</v>
      </c>
      <c r="D63" s="58"/>
      <c r="E63" s="59"/>
      <c r="F63" s="60">
        <v>1</v>
      </c>
      <c r="H63" s="6"/>
    </row>
    <row r="64" spans="1:31" ht="24.95" customHeight="1">
      <c r="C64" s="57" t="s">
        <v>100</v>
      </c>
      <c r="D64" s="58"/>
      <c r="E64" s="59"/>
      <c r="F64" s="60">
        <v>0</v>
      </c>
      <c r="H64" s="6"/>
    </row>
    <row r="65" spans="2:8" ht="24.95" customHeight="1">
      <c r="C65" s="610" t="s">
        <v>40</v>
      </c>
      <c r="D65" s="611"/>
      <c r="E65" s="611"/>
      <c r="F65" s="52"/>
    </row>
    <row r="66" spans="2:8" ht="24.95" customHeight="1">
      <c r="C66" s="61" t="s">
        <v>41</v>
      </c>
      <c r="D66" s="58"/>
      <c r="E66" s="59"/>
      <c r="F66" s="60">
        <v>3</v>
      </c>
    </row>
    <row r="67" spans="2:8" ht="24.95" customHeight="1">
      <c r="C67" s="61" t="s">
        <v>42</v>
      </c>
      <c r="D67" s="58"/>
      <c r="E67" s="59"/>
      <c r="F67" s="60">
        <v>2</v>
      </c>
    </row>
    <row r="68" spans="2:8" ht="24.95" customHeight="1">
      <c r="C68" s="61" t="s">
        <v>43</v>
      </c>
      <c r="D68" s="58"/>
      <c r="E68" s="59"/>
      <c r="F68" s="60">
        <v>1</v>
      </c>
    </row>
    <row r="69" spans="2:8" ht="24.95" customHeight="1">
      <c r="C69" s="61" t="s">
        <v>55</v>
      </c>
      <c r="D69" s="58"/>
      <c r="E69" s="58"/>
      <c r="F69" s="52">
        <v>0</v>
      </c>
    </row>
    <row r="70" spans="2:8" ht="24.95" customHeight="1">
      <c r="C70" s="610" t="s">
        <v>44</v>
      </c>
      <c r="D70" s="611"/>
      <c r="E70" s="611"/>
      <c r="F70" s="52"/>
    </row>
    <row r="71" spans="2:8" ht="24.95" customHeight="1">
      <c r="C71" s="57" t="s">
        <v>45</v>
      </c>
      <c r="D71" s="58"/>
      <c r="E71" s="59"/>
      <c r="F71" s="60">
        <v>2</v>
      </c>
    </row>
    <row r="72" spans="2:8" ht="24.95" customHeight="1">
      <c r="C72" s="57" t="s">
        <v>46</v>
      </c>
      <c r="D72" s="58"/>
      <c r="E72" s="59"/>
      <c r="F72" s="60">
        <v>0</v>
      </c>
    </row>
    <row r="73" spans="2:8" ht="24.95" customHeight="1">
      <c r="C73" s="610" t="s">
        <v>58</v>
      </c>
      <c r="D73" s="611"/>
      <c r="E73" s="611"/>
      <c r="F73" s="612"/>
    </row>
    <row r="74" spans="2:8" ht="24.95" customHeight="1">
      <c r="C74" s="57" t="s">
        <v>59</v>
      </c>
      <c r="D74" s="58"/>
      <c r="E74" s="59"/>
      <c r="F74" s="60">
        <v>2</v>
      </c>
    </row>
    <row r="75" spans="2:8" ht="24.95" customHeight="1">
      <c r="C75" s="57" t="s">
        <v>60</v>
      </c>
      <c r="D75" s="58"/>
      <c r="E75" s="59"/>
      <c r="F75" s="60">
        <v>0</v>
      </c>
    </row>
    <row r="76" spans="2:8" ht="24.95" customHeight="1">
      <c r="C76" s="613" t="s">
        <v>47</v>
      </c>
      <c r="D76" s="614"/>
      <c r="E76" s="615"/>
      <c r="F76" s="62" t="s">
        <v>48</v>
      </c>
    </row>
    <row r="77" spans="2:8" ht="24.95" customHeight="1">
      <c r="B77" s="6"/>
      <c r="C77" s="63"/>
      <c r="D77" s="63"/>
      <c r="E77" s="63" t="s">
        <v>15</v>
      </c>
      <c r="F77" s="64">
        <f>10+F55+F58+F61+F66+F71+F74</f>
        <v>24</v>
      </c>
      <c r="H77" s="6"/>
    </row>
    <row r="78" spans="2:8" ht="20.100000000000001" customHeight="1"/>
  </sheetData>
  <mergeCells count="141">
    <mergeCell ref="C70:E70"/>
    <mergeCell ref="C73:F73"/>
    <mergeCell ref="C76:E76"/>
    <mergeCell ref="B48:H48"/>
    <mergeCell ref="C53:E53"/>
    <mergeCell ref="C54:E54"/>
    <mergeCell ref="C57:E57"/>
    <mergeCell ref="C60:E60"/>
    <mergeCell ref="C65:E65"/>
    <mergeCell ref="AA42:AB42"/>
    <mergeCell ref="B46:H46"/>
    <mergeCell ref="B47:H47"/>
    <mergeCell ref="U40:V40"/>
    <mergeCell ref="W40:X40"/>
    <mergeCell ref="Y40:Z40"/>
    <mergeCell ref="AA40:AB40"/>
    <mergeCell ref="B42:H43"/>
    <mergeCell ref="I42:J42"/>
    <mergeCell ref="K42:L42"/>
    <mergeCell ref="M42:N42"/>
    <mergeCell ref="O42:P42"/>
    <mergeCell ref="S42:T42"/>
    <mergeCell ref="B40:H41"/>
    <mergeCell ref="I40:J40"/>
    <mergeCell ref="K40:L40"/>
    <mergeCell ref="M40:N40"/>
    <mergeCell ref="O40:P40"/>
    <mergeCell ref="S40:T40"/>
    <mergeCell ref="U42:V42"/>
    <mergeCell ref="W42:X42"/>
    <mergeCell ref="Y42:Z42"/>
    <mergeCell ref="Y35:Z35"/>
    <mergeCell ref="AA35:AB35"/>
    <mergeCell ref="B38:H39"/>
    <mergeCell ref="I38:J38"/>
    <mergeCell ref="K38:L38"/>
    <mergeCell ref="M38:N38"/>
    <mergeCell ref="O38:P38"/>
    <mergeCell ref="S38:T38"/>
    <mergeCell ref="U38:V38"/>
    <mergeCell ref="W38:X38"/>
    <mergeCell ref="Y38:Z38"/>
    <mergeCell ref="AA38:AB38"/>
    <mergeCell ref="B33:H34"/>
    <mergeCell ref="B35:H37"/>
    <mergeCell ref="I35:J35"/>
    <mergeCell ref="K35:L35"/>
    <mergeCell ref="M35:N35"/>
    <mergeCell ref="O35:P35"/>
    <mergeCell ref="S35:T35"/>
    <mergeCell ref="U35:V35"/>
    <mergeCell ref="W35:X35"/>
    <mergeCell ref="AA30:AB30"/>
    <mergeCell ref="B31:H32"/>
    <mergeCell ref="I31:J31"/>
    <mergeCell ref="K31:L31"/>
    <mergeCell ref="M31:N31"/>
    <mergeCell ref="O31:P31"/>
    <mergeCell ref="S31:T31"/>
    <mergeCell ref="U31:V31"/>
    <mergeCell ref="W31:X31"/>
    <mergeCell ref="Y31:Z31"/>
    <mergeCell ref="AA31:AB31"/>
    <mergeCell ref="B30:H30"/>
    <mergeCell ref="I30:J30"/>
    <mergeCell ref="K30:L30"/>
    <mergeCell ref="M30:N30"/>
    <mergeCell ref="O30:P30"/>
    <mergeCell ref="S30:T30"/>
    <mergeCell ref="U30:V30"/>
    <mergeCell ref="W30:X30"/>
    <mergeCell ref="Y30:Z30"/>
    <mergeCell ref="AA26:AB26"/>
    <mergeCell ref="B27:H28"/>
    <mergeCell ref="I27:J27"/>
    <mergeCell ref="K27:L27"/>
    <mergeCell ref="M27:N27"/>
    <mergeCell ref="O27:P27"/>
    <mergeCell ref="S27:T27"/>
    <mergeCell ref="U27:V27"/>
    <mergeCell ref="W27:X27"/>
    <mergeCell ref="Y27:Z27"/>
    <mergeCell ref="AA27:AB27"/>
    <mergeCell ref="S25:T25"/>
    <mergeCell ref="U25:V25"/>
    <mergeCell ref="Y25:Z25"/>
    <mergeCell ref="A26:A29"/>
    <mergeCell ref="B26:G26"/>
    <mergeCell ref="I26:J26"/>
    <mergeCell ref="K26:L26"/>
    <mergeCell ref="S26:T26"/>
    <mergeCell ref="U26:V26"/>
    <mergeCell ref="A24:A25"/>
    <mergeCell ref="B24:G24"/>
    <mergeCell ref="B25:G25"/>
    <mergeCell ref="I25:J25"/>
    <mergeCell ref="K25:L25"/>
    <mergeCell ref="O25:P25"/>
    <mergeCell ref="Y26:Z26"/>
    <mergeCell ref="B29:H29"/>
    <mergeCell ref="C18:D18"/>
    <mergeCell ref="C19:D19"/>
    <mergeCell ref="C20:D20"/>
    <mergeCell ref="C21:D21"/>
    <mergeCell ref="C22:D22"/>
    <mergeCell ref="C23:D23"/>
    <mergeCell ref="A9:A23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8:D8"/>
    <mergeCell ref="AD8:AE8"/>
    <mergeCell ref="AF8:AG8"/>
    <mergeCell ref="AH8:AI8"/>
    <mergeCell ref="AJ8:AK8"/>
    <mergeCell ref="I6:AK6"/>
    <mergeCell ref="B7:H7"/>
    <mergeCell ref="I7:J7"/>
    <mergeCell ref="K7:L7"/>
    <mergeCell ref="M7:N7"/>
    <mergeCell ref="O7:P7"/>
    <mergeCell ref="S7:T7"/>
    <mergeCell ref="U7:V7"/>
    <mergeCell ref="W7:X7"/>
    <mergeCell ref="Y7:Z7"/>
    <mergeCell ref="Q7:R7"/>
    <mergeCell ref="A1:AF1"/>
    <mergeCell ref="B3:C3"/>
    <mergeCell ref="D3:G3"/>
    <mergeCell ref="B4:C4"/>
    <mergeCell ref="D4:G4"/>
    <mergeCell ref="B5:C5"/>
    <mergeCell ref="D5:G5"/>
    <mergeCell ref="AA7:AB7"/>
    <mergeCell ref="AF7:AK7"/>
  </mergeCells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5EB5-F052-4608-A261-47D297B131C7}">
  <sheetPr>
    <tabColor theme="0" tint="-4.9989318521683403E-2"/>
  </sheetPr>
  <dimension ref="A1:Y69"/>
  <sheetViews>
    <sheetView topLeftCell="D3" zoomScale="60" zoomScaleNormal="60" workbookViewId="0">
      <pane ySplit="5" topLeftCell="A8" activePane="bottomLeft" state="frozen"/>
      <selection activeCell="G3" sqref="G3"/>
      <selection pane="bottomLeft" activeCell="N13" sqref="N13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86.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4" width="25.625" style="5" customWidth="1"/>
    <col min="15" max="15" width="22.5" style="5" customWidth="1"/>
    <col min="16" max="16" width="25" style="5" customWidth="1"/>
    <col min="17" max="18" width="22.5" style="5" customWidth="1"/>
    <col min="19" max="19" width="48.625" style="5" customWidth="1"/>
    <col min="20" max="25" width="20.625" style="5" customWidth="1"/>
    <col min="26" max="26" width="11.5" style="5" customWidth="1"/>
    <col min="27" max="16384" width="11.5" style="5"/>
  </cols>
  <sheetData>
    <row r="1" spans="1:25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867"/>
      <c r="U1" s="1"/>
      <c r="V1" s="1"/>
      <c r="W1" s="2" t="s">
        <v>1</v>
      </c>
      <c r="X1" s="3">
        <v>0</v>
      </c>
      <c r="Y1" s="4">
        <f>X1+Y2</f>
        <v>1</v>
      </c>
    </row>
    <row r="2" spans="1:25" ht="20.25" customHeight="1" thickBot="1">
      <c r="Y2" s="20">
        <v>1</v>
      </c>
    </row>
    <row r="3" spans="1:25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1" t="s">
        <v>5</v>
      </c>
      <c r="L3" s="23">
        <v>1</v>
      </c>
      <c r="M3" s="24"/>
      <c r="N3" s="24"/>
      <c r="O3" s="24"/>
      <c r="P3" s="24"/>
      <c r="Q3" s="24"/>
      <c r="R3" s="24"/>
      <c r="S3" s="24"/>
    </row>
    <row r="4" spans="1:25" ht="63" customHeight="1">
      <c r="A4" s="25"/>
      <c r="B4" s="690" t="s">
        <v>6</v>
      </c>
      <c r="C4" s="690"/>
      <c r="D4" s="691" t="s">
        <v>150</v>
      </c>
      <c r="E4" s="691"/>
      <c r="F4" s="691"/>
      <c r="G4" s="691"/>
      <c r="H4" s="22"/>
      <c r="I4" s="26"/>
      <c r="J4" s="81"/>
      <c r="K4" s="22"/>
      <c r="L4" s="22"/>
      <c r="M4" s="82"/>
      <c r="N4" s="22">
        <f>80+27</f>
        <v>107</v>
      </c>
      <c r="O4" s="22"/>
      <c r="P4" s="22"/>
      <c r="Q4" s="22"/>
      <c r="R4" s="22"/>
      <c r="S4" s="22"/>
    </row>
    <row r="5" spans="1:25" ht="18" customHeight="1" thickBo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25" ht="18" customHeight="1" thickBot="1">
      <c r="A6" s="6"/>
      <c r="B6" s="6"/>
      <c r="C6" s="6"/>
      <c r="D6" s="6"/>
      <c r="E6" s="6"/>
      <c r="F6" s="6"/>
      <c r="G6" s="6"/>
      <c r="H6" s="6"/>
      <c r="I6" s="868"/>
      <c r="J6" s="870"/>
      <c r="K6" s="870"/>
      <c r="L6" s="870"/>
      <c r="M6" s="870"/>
      <c r="N6" s="870"/>
      <c r="O6" s="870"/>
      <c r="P6" s="870"/>
      <c r="Q6" s="870"/>
      <c r="R6" s="870"/>
      <c r="S6" s="870"/>
      <c r="T6" s="870"/>
      <c r="U6" s="870"/>
      <c r="V6" s="870"/>
      <c r="W6" s="870"/>
      <c r="X6" s="870"/>
      <c r="Y6" s="869"/>
    </row>
    <row r="7" spans="1:25" ht="62.25" customHeight="1" thickBot="1">
      <c r="B7" s="695" t="s">
        <v>8</v>
      </c>
      <c r="C7" s="696"/>
      <c r="D7" s="696"/>
      <c r="E7" s="696"/>
      <c r="F7" s="696"/>
      <c r="G7" s="696"/>
      <c r="H7" s="735"/>
      <c r="I7" s="875" t="s">
        <v>151</v>
      </c>
      <c r="J7" s="876"/>
      <c r="K7" s="875" t="s">
        <v>152</v>
      </c>
      <c r="L7" s="876"/>
      <c r="M7" s="871" t="s">
        <v>164</v>
      </c>
      <c r="N7" s="872"/>
      <c r="O7" s="871" t="s">
        <v>153</v>
      </c>
      <c r="P7" s="872"/>
      <c r="Q7" s="27"/>
      <c r="R7" s="27"/>
      <c r="S7" s="27"/>
      <c r="T7" s="870" t="s">
        <v>9</v>
      </c>
      <c r="U7" s="870"/>
      <c r="V7" s="870"/>
      <c r="W7" s="870"/>
      <c r="X7" s="870"/>
      <c r="Y7" s="869"/>
    </row>
    <row r="8" spans="1:25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9" t="s">
        <v>15</v>
      </c>
      <c r="I8" s="18" t="s">
        <v>14</v>
      </c>
      <c r="J8" s="19" t="s">
        <v>15</v>
      </c>
      <c r="K8" s="18" t="s">
        <v>14</v>
      </c>
      <c r="L8" s="19" t="s">
        <v>15</v>
      </c>
      <c r="M8" s="18" t="s">
        <v>14</v>
      </c>
      <c r="N8" s="19" t="s">
        <v>15</v>
      </c>
      <c r="O8" s="18" t="s">
        <v>14</v>
      </c>
      <c r="P8" s="19" t="s">
        <v>15</v>
      </c>
      <c r="Q8" s="27" t="s">
        <v>10</v>
      </c>
      <c r="R8" s="871" t="s">
        <v>11</v>
      </c>
      <c r="S8" s="872"/>
      <c r="T8" s="871"/>
      <c r="U8" s="873"/>
      <c r="V8" s="871"/>
      <c r="W8" s="872"/>
      <c r="X8" s="874"/>
      <c r="Y8" s="872"/>
    </row>
    <row r="9" spans="1:25" ht="45.75" customHeight="1">
      <c r="A9" s="679"/>
      <c r="B9" s="83">
        <v>1</v>
      </c>
      <c r="C9" s="891" t="s">
        <v>154</v>
      </c>
      <c r="D9" s="892"/>
      <c r="E9" s="150" t="s">
        <v>50</v>
      </c>
      <c r="F9" s="84">
        <f>77</f>
        <v>77</v>
      </c>
      <c r="G9" s="151">
        <f>1600*1.18</f>
        <v>1888</v>
      </c>
      <c r="H9" s="86">
        <f t="shared" ref="H9" si="0">F9*G9</f>
        <v>145376</v>
      </c>
      <c r="I9" s="165">
        <v>1642.09</v>
      </c>
      <c r="J9" s="152">
        <f>F9*I9</f>
        <v>126440.93</v>
      </c>
      <c r="K9" s="153">
        <v>3300</v>
      </c>
      <c r="L9" s="154">
        <f>F9*K9</f>
        <v>254100</v>
      </c>
      <c r="M9" s="17">
        <f>(56*19.3)*1.18</f>
        <v>1275.3439999999998</v>
      </c>
      <c r="N9" s="16">
        <f t="shared" ref="N9" si="1">M9*F9</f>
        <v>98201.487999999983</v>
      </c>
      <c r="O9" s="17">
        <v>850.39</v>
      </c>
      <c r="P9" s="16">
        <f t="shared" ref="P9" si="2">O9*F9</f>
        <v>65480.03</v>
      </c>
      <c r="Q9" s="30"/>
      <c r="R9" s="33"/>
      <c r="S9" s="34"/>
      <c r="T9" s="31"/>
      <c r="U9" s="32"/>
      <c r="V9" s="35"/>
      <c r="W9" s="36"/>
      <c r="X9" s="35"/>
      <c r="Y9" s="36"/>
    </row>
    <row r="10" spans="1:25" ht="48" customHeight="1">
      <c r="A10" s="679"/>
      <c r="B10" s="83">
        <v>2</v>
      </c>
      <c r="C10" s="750"/>
      <c r="D10" s="765"/>
      <c r="E10" s="84"/>
      <c r="F10" s="84"/>
      <c r="G10" s="151"/>
      <c r="H10" s="85"/>
      <c r="I10" s="90"/>
      <c r="J10" s="152"/>
      <c r="K10" s="90"/>
      <c r="L10" s="155"/>
      <c r="M10" s="157"/>
      <c r="N10" s="16"/>
      <c r="O10" s="17"/>
      <c r="P10" s="16"/>
      <c r="Q10" s="30"/>
      <c r="R10" s="33"/>
      <c r="S10" s="34"/>
      <c r="T10" s="31"/>
      <c r="U10" s="32"/>
      <c r="V10" s="35"/>
      <c r="W10" s="36"/>
      <c r="X10" s="35"/>
      <c r="Y10" s="36"/>
    </row>
    <row r="11" spans="1:25" ht="48" customHeight="1">
      <c r="A11" s="679"/>
      <c r="B11" s="83">
        <v>3</v>
      </c>
      <c r="C11" s="750"/>
      <c r="D11" s="765"/>
      <c r="E11" s="84"/>
      <c r="F11" s="84"/>
      <c r="G11" s="151"/>
      <c r="H11" s="85"/>
      <c r="I11" s="90"/>
      <c r="J11" s="152"/>
      <c r="K11" s="90"/>
      <c r="L11" s="155"/>
      <c r="M11" s="157"/>
      <c r="N11" s="16"/>
      <c r="O11" s="17"/>
      <c r="P11" s="16"/>
      <c r="Q11" s="30"/>
      <c r="R11" s="33"/>
      <c r="S11" s="34"/>
      <c r="T11" s="31"/>
      <c r="U11" s="32"/>
      <c r="V11" s="35"/>
      <c r="W11" s="36"/>
      <c r="X11" s="35"/>
      <c r="Y11" s="36"/>
    </row>
    <row r="12" spans="1:25" ht="48" customHeight="1">
      <c r="A12" s="679"/>
      <c r="B12" s="83">
        <v>4</v>
      </c>
      <c r="C12" s="750"/>
      <c r="D12" s="765"/>
      <c r="E12" s="84"/>
      <c r="F12" s="84"/>
      <c r="G12" s="151"/>
      <c r="H12" s="85"/>
      <c r="I12" s="90"/>
      <c r="J12" s="152"/>
      <c r="K12" s="90"/>
      <c r="L12" s="155"/>
      <c r="M12" s="157"/>
      <c r="N12" s="16"/>
      <c r="O12" s="17"/>
      <c r="P12" s="16"/>
      <c r="R12" s="33"/>
      <c r="S12" s="34"/>
      <c r="T12" s="31"/>
      <c r="U12" s="32"/>
      <c r="V12" s="35"/>
      <c r="W12" s="36"/>
      <c r="X12" s="35"/>
      <c r="Y12" s="36"/>
    </row>
    <row r="13" spans="1:25" ht="48" customHeight="1">
      <c r="A13" s="679"/>
      <c r="B13" s="83">
        <v>5</v>
      </c>
      <c r="C13" s="750"/>
      <c r="D13" s="765"/>
      <c r="E13" s="84"/>
      <c r="F13" s="84"/>
      <c r="G13" s="151"/>
      <c r="H13" s="85"/>
      <c r="I13" s="90"/>
      <c r="J13" s="152"/>
      <c r="K13" s="90"/>
      <c r="L13" s="155"/>
      <c r="M13" s="157"/>
      <c r="N13" s="16"/>
      <c r="O13" s="17"/>
      <c r="P13" s="16"/>
      <c r="Q13" s="30"/>
      <c r="R13" s="33"/>
      <c r="S13" s="34"/>
      <c r="T13" s="31"/>
      <c r="U13" s="32"/>
      <c r="V13" s="35"/>
      <c r="W13" s="36"/>
      <c r="X13" s="35"/>
      <c r="Y13" s="36"/>
    </row>
    <row r="14" spans="1:25" ht="48" customHeight="1" thickBot="1">
      <c r="A14" s="679"/>
      <c r="B14" s="83">
        <v>6</v>
      </c>
      <c r="C14" s="750"/>
      <c r="D14" s="765"/>
      <c r="E14" s="84"/>
      <c r="F14" s="84"/>
      <c r="G14" s="156"/>
      <c r="H14" s="85"/>
      <c r="I14" s="90"/>
      <c r="J14" s="152"/>
      <c r="K14" s="90"/>
      <c r="L14" s="155"/>
      <c r="M14" s="157"/>
      <c r="N14" s="16"/>
      <c r="O14" s="17"/>
      <c r="P14" s="16"/>
      <c r="Q14" s="30"/>
      <c r="R14" s="33"/>
      <c r="S14" s="34"/>
      <c r="T14" s="31"/>
      <c r="U14" s="32"/>
      <c r="V14" s="35"/>
      <c r="W14" s="36"/>
      <c r="X14" s="35"/>
      <c r="Y14" s="36"/>
    </row>
    <row r="15" spans="1:25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97">
        <f>SUM(H9:H14)</f>
        <v>145376</v>
      </c>
      <c r="I15" s="87"/>
      <c r="J15" s="88">
        <f>SUM(J9:J14)</f>
        <v>126440.93</v>
      </c>
      <c r="K15" s="94"/>
      <c r="L15" s="93">
        <f>SUM(L9:L14)</f>
        <v>254100</v>
      </c>
      <c r="M15" s="95"/>
      <c r="N15" s="96">
        <f>SUM(N9:N14)</f>
        <v>98201.487999999983</v>
      </c>
      <c r="O15" s="92"/>
      <c r="P15" s="93">
        <f>SUM(P9:P14)</f>
        <v>65480.03</v>
      </c>
      <c r="Q15" s="9"/>
      <c r="R15" s="9"/>
      <c r="S15" s="9"/>
      <c r="T15" s="38"/>
      <c r="U15" s="7"/>
      <c r="V15" s="7"/>
      <c r="W15" s="7"/>
      <c r="X15" s="7"/>
      <c r="Y15" s="39"/>
    </row>
    <row r="16" spans="1:25" ht="25.5" customHeight="1">
      <c r="A16" s="665"/>
      <c r="B16" s="669" t="s">
        <v>49</v>
      </c>
      <c r="C16" s="670"/>
      <c r="D16" s="670"/>
      <c r="E16" s="670"/>
      <c r="F16" s="670"/>
      <c r="G16" s="670"/>
      <c r="H16" s="37"/>
      <c r="I16" s="673">
        <f>I15*0.18</f>
        <v>0</v>
      </c>
      <c r="J16" s="887"/>
      <c r="K16" s="673">
        <f>0.18*K15</f>
        <v>0</v>
      </c>
      <c r="L16" s="672"/>
      <c r="M16" s="77"/>
      <c r="N16" s="89"/>
      <c r="O16" s="671"/>
      <c r="P16" s="672"/>
      <c r="Q16" s="8"/>
      <c r="R16" s="8"/>
      <c r="S16" s="8"/>
      <c r="T16" s="38"/>
      <c r="U16" s="7"/>
      <c r="V16" s="7"/>
      <c r="W16" s="7"/>
      <c r="X16" s="7"/>
      <c r="Y16" s="39"/>
    </row>
    <row r="17" spans="1:25" ht="22.5" customHeight="1" thickBo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40">
        <f>H15+H16</f>
        <v>145376</v>
      </c>
      <c r="I17" s="732">
        <f>J15</f>
        <v>126440.93</v>
      </c>
      <c r="J17" s="676"/>
      <c r="K17" s="677">
        <f>L15</f>
        <v>254100</v>
      </c>
      <c r="L17" s="678"/>
      <c r="M17" s="78"/>
      <c r="N17" s="78">
        <f>N15+N16</f>
        <v>98201.487999999983</v>
      </c>
      <c r="O17" s="355">
        <f>P15</f>
        <v>65480.03</v>
      </c>
      <c r="P17" s="354"/>
      <c r="Q17" s="9"/>
      <c r="R17" s="9"/>
      <c r="S17" s="9"/>
      <c r="T17" s="41"/>
      <c r="U17" s="42"/>
      <c r="V17" s="42"/>
      <c r="W17" s="42"/>
      <c r="X17" s="42"/>
      <c r="Y17" s="43"/>
    </row>
    <row r="18" spans="1:25" ht="27" customHeight="1">
      <c r="A18" s="665"/>
      <c r="B18" s="647" t="s">
        <v>20</v>
      </c>
      <c r="C18" s="648"/>
      <c r="D18" s="648"/>
      <c r="E18" s="648"/>
      <c r="F18" s="648"/>
      <c r="G18" s="648"/>
      <c r="H18" s="733"/>
      <c r="I18" s="646"/>
      <c r="J18" s="645"/>
      <c r="K18" s="646"/>
      <c r="L18" s="645"/>
      <c r="M18" s="634"/>
      <c r="N18" s="635"/>
      <c r="O18" s="743"/>
      <c r="P18" s="744"/>
      <c r="Q18" s="74"/>
      <c r="R18" s="12"/>
      <c r="S18" s="12"/>
    </row>
    <row r="19" spans="1:25" ht="23.25" customHeight="1">
      <c r="A19" s="665"/>
      <c r="B19" s="647"/>
      <c r="C19" s="648"/>
      <c r="D19" s="648"/>
      <c r="E19" s="648"/>
      <c r="F19" s="648"/>
      <c r="G19" s="648"/>
      <c r="H19" s="733"/>
      <c r="I19" s="49" t="s">
        <v>21</v>
      </c>
      <c r="J19" s="148">
        <v>4</v>
      </c>
      <c r="K19" s="149" t="s">
        <v>21</v>
      </c>
      <c r="L19" s="148">
        <v>2</v>
      </c>
      <c r="M19" s="149" t="s">
        <v>21</v>
      </c>
      <c r="N19" s="148">
        <v>1</v>
      </c>
      <c r="O19" s="147" t="s">
        <v>21</v>
      </c>
      <c r="P19" s="148">
        <v>1</v>
      </c>
      <c r="Q19" s="74"/>
      <c r="S19" s="10"/>
    </row>
    <row r="20" spans="1:25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733"/>
      <c r="I20" s="102" t="s">
        <v>23</v>
      </c>
      <c r="J20" s="103">
        <f>IF(OR($H$17=0,I17=0),"-",I17-$H$17)</f>
        <v>-18935.070000000007</v>
      </c>
      <c r="K20" s="102" t="s">
        <v>23</v>
      </c>
      <c r="L20" s="103">
        <f>IF(OR($H$17=0,K17=0),"-",K17-$H$17)</f>
        <v>108724</v>
      </c>
      <c r="M20" s="102" t="s">
        <v>23</v>
      </c>
      <c r="N20" s="103">
        <f>IF(OR($H$17=0,N17=0),"-",N17-$H$17)</f>
        <v>-47174.512000000017</v>
      </c>
      <c r="O20" s="102" t="s">
        <v>23</v>
      </c>
      <c r="P20" s="103">
        <f>O17-H17</f>
        <v>-79895.97</v>
      </c>
      <c r="Q20" s="75"/>
      <c r="R20" s="75"/>
      <c r="S20" s="44"/>
    </row>
    <row r="21" spans="1:25" ht="24.95" customHeight="1">
      <c r="A21" s="7"/>
      <c r="B21" s="650" t="s">
        <v>51</v>
      </c>
      <c r="C21" s="651"/>
      <c r="D21" s="651"/>
      <c r="E21" s="651"/>
      <c r="F21" s="651"/>
      <c r="G21" s="651"/>
      <c r="H21" s="727"/>
      <c r="I21" s="738">
        <f>J20*77</f>
        <v>-1458000.3900000006</v>
      </c>
      <c r="J21" s="654"/>
      <c r="K21" s="657">
        <f>L20*77</f>
        <v>8371748</v>
      </c>
      <c r="L21" s="658"/>
      <c r="M21" s="657">
        <f>N20*77</f>
        <v>-3632437.4240000015</v>
      </c>
      <c r="N21" s="658"/>
      <c r="O21" s="739">
        <f>P20*77</f>
        <v>-6151989.6900000004</v>
      </c>
      <c r="P21" s="740"/>
      <c r="Q21" s="76"/>
      <c r="R21" s="76"/>
      <c r="S21" s="10"/>
    </row>
    <row r="22" spans="1:25" ht="24.95" customHeight="1">
      <c r="A22" s="7"/>
      <c r="B22" s="621" t="s">
        <v>20</v>
      </c>
      <c r="C22" s="622"/>
      <c r="D22" s="622"/>
      <c r="E22" s="622"/>
      <c r="F22" s="622"/>
      <c r="G22" s="622"/>
      <c r="H22" s="713"/>
      <c r="I22" s="663" t="str">
        <f>IF(OR($H$17=0,I17=0),"",IF(I17&lt;=$H$17,$C$46,$C$47))</f>
        <v>Precio menor o igual al presupuesto</v>
      </c>
      <c r="J22" s="660"/>
      <c r="K22" s="663" t="str">
        <f>IF(OR($H$17=0,K17=0),"",IF(K17&lt;=$H$17,$C$46,$C$47))</f>
        <v>Precio mayor al presupuesto</v>
      </c>
      <c r="L22" s="660"/>
      <c r="M22" s="663" t="str">
        <f>IF(OR($H$17=0,N17=0),"",IF(N17&lt;=$H$17,$C$46,$C$47))</f>
        <v>Precio menor o igual al presupuesto</v>
      </c>
      <c r="N22" s="660"/>
      <c r="O22" s="663" t="str">
        <f t="shared" ref="O22" si="3">IF(OR($H$17=0,O17=0),"",IF(O17&lt;=$H$17,$C$46,$C$47))</f>
        <v>Precio menor o igual al presupuesto</v>
      </c>
      <c r="P22" s="660"/>
      <c r="Q22" s="76"/>
      <c r="R22" s="76"/>
      <c r="S22" s="10"/>
    </row>
    <row r="23" spans="1:25" ht="24.95" customHeight="1">
      <c r="A23" s="7"/>
      <c r="B23" s="621"/>
      <c r="C23" s="622"/>
      <c r="D23" s="622"/>
      <c r="E23" s="622"/>
      <c r="F23" s="622"/>
      <c r="G23" s="622"/>
      <c r="H23" s="713"/>
      <c r="I23" s="108" t="s">
        <v>21</v>
      </c>
      <c r="J23" s="109">
        <f>IF(I22=$C$46,$F$46,0)</f>
        <v>2</v>
      </c>
      <c r="K23" s="108" t="s">
        <v>21</v>
      </c>
      <c r="L23" s="109">
        <f>IF(K22=$C$46,$F$46,0)</f>
        <v>0</v>
      </c>
      <c r="M23" s="108" t="s">
        <v>21</v>
      </c>
      <c r="N23" s="109">
        <f>IF(M22=$C$46,$F$46,0)</f>
        <v>2</v>
      </c>
      <c r="O23" s="108" t="s">
        <v>21</v>
      </c>
      <c r="P23" s="109">
        <f>IF(O22=$C$46,$F$46,0)</f>
        <v>2</v>
      </c>
      <c r="Q23" s="76"/>
      <c r="R23" s="76"/>
      <c r="S23" s="10"/>
    </row>
    <row r="24" spans="1:25" ht="24.95" customHeight="1">
      <c r="A24" s="7"/>
      <c r="B24" s="621" t="s">
        <v>22</v>
      </c>
      <c r="C24" s="622"/>
      <c r="D24" s="622"/>
      <c r="E24" s="622"/>
      <c r="F24" s="622"/>
      <c r="G24" s="622"/>
      <c r="H24" s="713"/>
      <c r="I24" s="108" t="s">
        <v>23</v>
      </c>
      <c r="J24" s="101">
        <f>IF(OR($H$17=0,I17=0),"-",I17-$H$17)</f>
        <v>-18935.070000000007</v>
      </c>
      <c r="K24" s="108" t="s">
        <v>23</v>
      </c>
      <c r="L24" s="101">
        <f>IF(OR($H$17=0,K17=0),"-",K17-$H$17)</f>
        <v>108724</v>
      </c>
      <c r="M24" s="108" t="s">
        <v>23</v>
      </c>
      <c r="N24" s="101">
        <f>IF(OR($H$17=0,N17=0),"-",N17-$H$17)</f>
        <v>-47174.512000000017</v>
      </c>
      <c r="O24" s="108" t="s">
        <v>23</v>
      </c>
      <c r="P24" s="101">
        <f>IF(OR($H$17=0,O17=0),"-",O17-$H$17)</f>
        <v>-79895.97</v>
      </c>
      <c r="Q24" s="76"/>
      <c r="R24" s="76"/>
      <c r="S24" s="10"/>
    </row>
    <row r="25" spans="1:25" ht="34.5" customHeight="1">
      <c r="A25" s="7"/>
      <c r="B25" s="621"/>
      <c r="C25" s="622"/>
      <c r="D25" s="622"/>
      <c r="E25" s="622"/>
      <c r="F25" s="622"/>
      <c r="G25" s="622"/>
      <c r="H25" s="713"/>
      <c r="I25" s="111" t="s">
        <v>21</v>
      </c>
      <c r="J25" s="50">
        <f>IF(AND(J24&lt;L24,J24&lt;N24,J24&lt;P24),2,0)</f>
        <v>0</v>
      </c>
      <c r="K25" s="110" t="s">
        <v>21</v>
      </c>
      <c r="L25" s="50">
        <f>IF(AND(L24&lt;N24,L24&lt;P24,,L24&lt;J24),2,0)</f>
        <v>0</v>
      </c>
      <c r="M25" s="105" t="s">
        <v>21</v>
      </c>
      <c r="N25" s="50">
        <f>IF(AND(N24&lt;P24,N24&lt;L24,N24&lt;J24),2,0)</f>
        <v>0</v>
      </c>
      <c r="O25" s="105" t="s">
        <v>21</v>
      </c>
      <c r="P25" s="50">
        <f>IF(AND(P24&lt;J24,P24&lt;N24,P24&lt;L24),2,0)</f>
        <v>2</v>
      </c>
      <c r="Q25" s="76"/>
      <c r="R25" s="76"/>
      <c r="S25" s="11"/>
    </row>
    <row r="26" spans="1:25" ht="34.5" customHeight="1">
      <c r="A26" s="7"/>
      <c r="B26" s="628" t="s">
        <v>53</v>
      </c>
      <c r="C26" s="629"/>
      <c r="D26" s="629"/>
      <c r="E26" s="629"/>
      <c r="F26" s="629"/>
      <c r="G26" s="629"/>
      <c r="H26" s="710"/>
      <c r="I26" s="642" t="str">
        <f>C53</f>
        <v>Por valuación de obra ejecutada con anticipo</v>
      </c>
      <c r="J26" s="643"/>
      <c r="K26" s="642" t="str">
        <f>C53</f>
        <v>Por valuación de obra ejecutada con anticipo</v>
      </c>
      <c r="L26" s="643"/>
      <c r="M26" s="642" t="str">
        <f>C53</f>
        <v>Por valuación de obra ejecutada con anticipo</v>
      </c>
      <c r="N26" s="643"/>
      <c r="O26" s="642" t="str">
        <f>C53</f>
        <v>Por valuación de obra ejecutada con anticipo</v>
      </c>
      <c r="P26" s="643"/>
      <c r="Q26" s="76"/>
      <c r="R26" s="76"/>
      <c r="S26" s="11"/>
    </row>
    <row r="27" spans="1:25" ht="24.95" customHeight="1">
      <c r="B27" s="638"/>
      <c r="C27" s="639"/>
      <c r="D27" s="639"/>
      <c r="E27" s="639"/>
      <c r="F27" s="639"/>
      <c r="G27" s="639"/>
      <c r="H27" s="711"/>
      <c r="I27" s="113" t="s">
        <v>21</v>
      </c>
      <c r="J27" s="114">
        <v>2</v>
      </c>
      <c r="K27" s="113" t="s">
        <v>21</v>
      </c>
      <c r="L27" s="114">
        <v>2</v>
      </c>
      <c r="M27" s="113" t="s">
        <v>21</v>
      </c>
      <c r="N27" s="114">
        <v>2</v>
      </c>
      <c r="O27" s="113" t="s">
        <v>21</v>
      </c>
      <c r="P27" s="114">
        <v>2</v>
      </c>
      <c r="Q27" s="10"/>
      <c r="R27" s="10"/>
      <c r="S27" s="10"/>
    </row>
    <row r="28" spans="1:25" ht="24.95" customHeight="1">
      <c r="B28" s="640"/>
      <c r="C28" s="641"/>
      <c r="D28" s="641"/>
      <c r="E28" s="641"/>
      <c r="F28" s="641"/>
      <c r="G28" s="641"/>
      <c r="H28" s="712"/>
      <c r="I28" s="113"/>
      <c r="J28" s="114"/>
      <c r="K28" s="113"/>
      <c r="L28" s="114"/>
      <c r="M28" s="113"/>
      <c r="N28" s="114"/>
      <c r="O28" s="113"/>
      <c r="P28" s="114"/>
      <c r="Q28" s="10"/>
      <c r="R28" s="10"/>
      <c r="S28" s="10"/>
    </row>
    <row r="29" spans="1:25" ht="24.95" customHeight="1">
      <c r="B29" s="621" t="s">
        <v>54</v>
      </c>
      <c r="C29" s="622"/>
      <c r="D29" s="622"/>
      <c r="E29" s="622"/>
      <c r="F29" s="622"/>
      <c r="G29" s="622"/>
      <c r="H29" s="713"/>
      <c r="I29" s="624" t="str">
        <f>C60</f>
        <v>A los 60 días</v>
      </c>
      <c r="J29" s="625"/>
      <c r="K29" s="624" t="str">
        <f>C60</f>
        <v>A los 60 días</v>
      </c>
      <c r="L29" s="625"/>
      <c r="M29" s="624" t="str">
        <f>C60</f>
        <v>A los 60 días</v>
      </c>
      <c r="N29" s="625"/>
      <c r="O29" s="624" t="str">
        <f>C60</f>
        <v>A los 60 días</v>
      </c>
      <c r="P29" s="625"/>
      <c r="Q29" s="10"/>
      <c r="R29" s="10"/>
      <c r="S29" s="10"/>
    </row>
    <row r="30" spans="1:25" ht="47.25" customHeight="1">
      <c r="B30" s="621"/>
      <c r="C30" s="622"/>
      <c r="D30" s="622"/>
      <c r="E30" s="622"/>
      <c r="F30" s="622"/>
      <c r="G30" s="622"/>
      <c r="H30" s="713"/>
      <c r="I30" s="106" t="s">
        <v>21</v>
      </c>
      <c r="J30" s="112">
        <f>IF(I29=$C$57,$F$57,IF(I29=$C$58,$F$58,IF(I29=$C$59,$F$59,IF(I29=$C$60,F60,0))))</f>
        <v>0</v>
      </c>
      <c r="K30" s="115" t="s">
        <v>21</v>
      </c>
      <c r="L30" s="116">
        <f t="shared" ref="L30" si="4">IF(K29=$C$57,$F$57,IF(K29=$C$58,$F$58,IF(K29=$C$59,$F$59,0)))</f>
        <v>0</v>
      </c>
      <c r="M30" s="115" t="s">
        <v>21</v>
      </c>
      <c r="N30" s="116">
        <f t="shared" ref="N30" si="5">IF(M29=$C$57,$F$57,IF(M29=$C$58,$F$58,IF(M29=$C$59,$F$59,0)))</f>
        <v>0</v>
      </c>
      <c r="O30" s="115" t="s">
        <v>21</v>
      </c>
      <c r="P30" s="117">
        <f t="shared" ref="P30" si="6">IF(O29=$C$57,$F$57,IF(O29=$C$58,$F$58,IF(O29=$C$59,$F$59,0)))</f>
        <v>0</v>
      </c>
      <c r="Q30" s="11"/>
      <c r="R30" s="11"/>
      <c r="S30" s="11"/>
    </row>
    <row r="31" spans="1:25" ht="33.75" customHeight="1">
      <c r="B31" s="621" t="s">
        <v>56</v>
      </c>
      <c r="C31" s="622"/>
      <c r="D31" s="622"/>
      <c r="E31" s="622"/>
      <c r="F31" s="622"/>
      <c r="G31" s="622"/>
      <c r="H31" s="713"/>
      <c r="I31" s="626" t="s">
        <v>45</v>
      </c>
      <c r="J31" s="627"/>
      <c r="K31" s="626" t="s">
        <v>45</v>
      </c>
      <c r="L31" s="627"/>
      <c r="M31" s="626" t="s">
        <v>45</v>
      </c>
      <c r="N31" s="627"/>
      <c r="O31" s="626" t="s">
        <v>45</v>
      </c>
      <c r="P31" s="627"/>
      <c r="Q31" s="11"/>
      <c r="R31" s="11"/>
      <c r="S31" s="11"/>
    </row>
    <row r="32" spans="1:25" ht="30" customHeight="1">
      <c r="B32" s="621"/>
      <c r="C32" s="622"/>
      <c r="D32" s="622"/>
      <c r="E32" s="622"/>
      <c r="F32" s="622"/>
      <c r="G32" s="622"/>
      <c r="H32" s="713"/>
      <c r="I32" s="51" t="s">
        <v>21</v>
      </c>
      <c r="J32" s="118">
        <f>IF(I31=$C$62,$F$62,0)</f>
        <v>2</v>
      </c>
      <c r="K32" s="51" t="s">
        <v>21</v>
      </c>
      <c r="L32" s="118">
        <f t="shared" ref="L32" si="7">IF(K31=$C$62,$F$62,0)</f>
        <v>2</v>
      </c>
      <c r="M32" s="51" t="s">
        <v>21</v>
      </c>
      <c r="N32" s="118">
        <f t="shared" ref="N32" si="8">IF(M31=$C$62,$F$62,0)</f>
        <v>2</v>
      </c>
      <c r="O32" s="51" t="s">
        <v>21</v>
      </c>
      <c r="P32" s="118">
        <f t="shared" ref="P32" si="9">IF(O31=$C$62,$F$62,0)</f>
        <v>2</v>
      </c>
      <c r="Q32" s="12"/>
      <c r="R32" s="12"/>
      <c r="S32" s="12"/>
    </row>
    <row r="33" spans="2:19" ht="30" customHeight="1">
      <c r="B33" s="628" t="s">
        <v>57</v>
      </c>
      <c r="C33" s="629"/>
      <c r="D33" s="629"/>
      <c r="E33" s="629"/>
      <c r="F33" s="629"/>
      <c r="G33" s="629"/>
      <c r="H33" s="710"/>
      <c r="I33" s="634" t="str">
        <f>C65</f>
        <v>Excelente</v>
      </c>
      <c r="J33" s="635"/>
      <c r="K33" s="634" t="str">
        <f>C65</f>
        <v>Excelente</v>
      </c>
      <c r="L33" s="635"/>
      <c r="M33" s="634" t="str">
        <f>C65</f>
        <v>Excelente</v>
      </c>
      <c r="N33" s="635"/>
      <c r="O33" s="634" t="str">
        <f>C65</f>
        <v>Excelente</v>
      </c>
      <c r="P33" s="635"/>
      <c r="Q33" s="12"/>
      <c r="R33" s="12"/>
      <c r="S33" s="12"/>
    </row>
    <row r="34" spans="2:19" ht="24.95" customHeight="1" thickBot="1">
      <c r="B34" s="630"/>
      <c r="C34" s="631"/>
      <c r="D34" s="631"/>
      <c r="E34" s="631"/>
      <c r="F34" s="631"/>
      <c r="G34" s="631"/>
      <c r="H34" s="737"/>
      <c r="I34" s="122" t="s">
        <v>21</v>
      </c>
      <c r="J34" s="123">
        <f>IF(I33=$C$65,$F$65,IF(I33=$C$66,$F$66,0))</f>
        <v>2</v>
      </c>
      <c r="K34" s="124" t="s">
        <v>21</v>
      </c>
      <c r="L34" s="123">
        <f>IF(K33=$C$65,$F$65,IF(K33=$C$66,$F$66,0))</f>
        <v>2</v>
      </c>
      <c r="M34" s="124" t="s">
        <v>21</v>
      </c>
      <c r="N34" s="125">
        <f>IF(M33=$C$65,$F$65,IF(M33=$C$66,$F$66,0))</f>
        <v>2</v>
      </c>
      <c r="O34" s="124" t="s">
        <v>21</v>
      </c>
      <c r="P34" s="126">
        <f>IF(O33=$C$65,$F$65,IF(O33=$C$66,$F$66,0))</f>
        <v>2</v>
      </c>
      <c r="Q34" s="12"/>
      <c r="R34" s="12"/>
      <c r="S34" s="12"/>
    </row>
    <row r="35" spans="2:19" ht="24.95" customHeight="1" thickBot="1">
      <c r="B35" s="119"/>
      <c r="C35" s="120"/>
      <c r="D35" s="120"/>
      <c r="E35" s="120"/>
      <c r="F35" s="120"/>
      <c r="G35" s="120"/>
      <c r="H35" s="121"/>
      <c r="I35" s="133"/>
      <c r="J35" s="134"/>
      <c r="K35" s="135"/>
      <c r="L35" s="134"/>
      <c r="M35" s="135"/>
      <c r="N35" s="136"/>
      <c r="O35" s="135"/>
      <c r="P35" s="137"/>
      <c r="Q35" s="12"/>
      <c r="R35" s="12"/>
      <c r="S35" s="12"/>
    </row>
    <row r="36" spans="2:19" ht="24.95" customHeight="1" thickBot="1">
      <c r="B36" s="119"/>
      <c r="C36" s="120"/>
      <c r="D36" s="120"/>
      <c r="E36" s="120"/>
      <c r="F36" s="120"/>
      <c r="G36" s="120"/>
      <c r="H36" s="121"/>
      <c r="I36" s="133"/>
      <c r="J36" s="134"/>
      <c r="K36" s="135"/>
      <c r="L36" s="134"/>
      <c r="M36" s="135"/>
      <c r="N36" s="136"/>
      <c r="O36" s="135"/>
      <c r="P36" s="137"/>
      <c r="Q36" s="12"/>
      <c r="R36" s="12"/>
      <c r="S36" s="12"/>
    </row>
    <row r="37" spans="2:19" ht="24.95" customHeight="1" thickBot="1">
      <c r="B37" s="636" t="s">
        <v>62</v>
      </c>
      <c r="C37" s="637"/>
      <c r="D37" s="637"/>
      <c r="E37" s="637"/>
      <c r="F37" s="637"/>
      <c r="G37" s="637"/>
      <c r="H37" s="720"/>
      <c r="I37" s="127"/>
      <c r="J37" s="131">
        <f>J23+J25+J27+J30+J32+J34</f>
        <v>8</v>
      </c>
      <c r="K37" s="129"/>
      <c r="L37" s="132">
        <f>L23+L25+L27+L30+L32+L34</f>
        <v>6</v>
      </c>
      <c r="M37" s="130"/>
      <c r="N37" s="142">
        <f>N23+N25+N27+N30+N32+N34</f>
        <v>8</v>
      </c>
      <c r="O37" s="27"/>
      <c r="P37" s="142">
        <f>P23+P25+P27+P30+P32+P34</f>
        <v>10</v>
      </c>
      <c r="Q37" s="6"/>
      <c r="R37" s="6"/>
      <c r="S37" s="6"/>
    </row>
    <row r="38" spans="2:19" ht="24.95" customHeight="1" thickBot="1">
      <c r="B38" s="620" t="s">
        <v>61</v>
      </c>
      <c r="C38" s="620"/>
      <c r="D38" s="620"/>
      <c r="E38" s="620"/>
      <c r="F38" s="620"/>
      <c r="G38" s="620"/>
      <c r="H38" s="620"/>
      <c r="I38" s="131"/>
      <c r="J38" s="128">
        <v>10</v>
      </c>
      <c r="K38" s="131"/>
      <c r="L38" s="128">
        <v>10</v>
      </c>
      <c r="M38" s="138"/>
      <c r="N38" s="140">
        <v>10</v>
      </c>
      <c r="O38" s="139"/>
      <c r="P38" s="141">
        <v>10</v>
      </c>
      <c r="Q38" s="6"/>
      <c r="R38" s="6"/>
      <c r="S38" s="6"/>
    </row>
    <row r="39" spans="2:19" ht="24.95" customHeight="1" thickBot="1">
      <c r="B39" s="616" t="s">
        <v>63</v>
      </c>
      <c r="C39" s="616"/>
      <c r="D39" s="616"/>
      <c r="E39" s="616"/>
      <c r="F39" s="616"/>
      <c r="G39" s="616"/>
      <c r="H39" s="616"/>
      <c r="I39" s="107"/>
      <c r="J39" s="145">
        <f>J37+J38</f>
        <v>18</v>
      </c>
      <c r="K39" s="24"/>
      <c r="L39" s="145">
        <f>L37+L38</f>
        <v>16</v>
      </c>
      <c r="M39" s="146"/>
      <c r="N39" s="144">
        <f>N37+N38</f>
        <v>18</v>
      </c>
      <c r="O39" s="143"/>
      <c r="P39" s="144">
        <f>P37+P38</f>
        <v>20</v>
      </c>
      <c r="Q39" s="6"/>
      <c r="R39" s="6"/>
      <c r="S39" s="6"/>
    </row>
    <row r="40" spans="2:19" ht="24.95" customHeight="1">
      <c r="B40" s="69"/>
      <c r="C40" s="70" t="s">
        <v>24</v>
      </c>
      <c r="D40" s="71"/>
      <c r="E40" s="70" t="s">
        <v>25</v>
      </c>
      <c r="F40" s="71"/>
      <c r="G40" s="69"/>
      <c r="H40" s="69"/>
      <c r="I40" s="72" t="str">
        <f>IF($H$17&gt;(3000*$I$45),"COORDINADOR DE PROYECTOS","")</f>
        <v>COORDINADOR DE PROYECTOS</v>
      </c>
      <c r="J40" s="69"/>
      <c r="K40" s="69"/>
      <c r="L40" s="73" t="str">
        <f>IF($H$17&gt;(7500*$I$45),"GERENTE TÉCNICO","")</f>
        <v>GERENTE TÉCNICO</v>
      </c>
      <c r="O40" s="45"/>
      <c r="P40" s="99"/>
      <c r="Q40" s="45"/>
      <c r="R40" s="45"/>
      <c r="S40" s="45"/>
    </row>
    <row r="41" spans="2:19" ht="24.95" customHeight="1">
      <c r="B41" s="26"/>
      <c r="C41" s="22"/>
      <c r="D41" s="26"/>
      <c r="E41" s="48" t="s">
        <v>4</v>
      </c>
      <c r="F41" s="26"/>
      <c r="G41" s="26"/>
      <c r="H41" s="26"/>
      <c r="I41" s="26" t="str">
        <f>IF(I40&lt;&gt;"","FECHA:","")</f>
        <v>FECHA:</v>
      </c>
      <c r="J41" s="26"/>
      <c r="K41" s="26"/>
      <c r="L41" s="48" t="str">
        <f>IF(L40&lt;&gt;"","FECHA:","")</f>
        <v>FECHA:</v>
      </c>
      <c r="N41" s="73"/>
      <c r="P41" s="46"/>
      <c r="Q41" s="46"/>
      <c r="R41" s="46"/>
      <c r="S41" s="46"/>
    </row>
    <row r="42" spans="2:19" ht="24.95" customHeight="1">
      <c r="B42" s="47"/>
      <c r="C42" s="47"/>
      <c r="H42" s="104"/>
      <c r="L42" s="100"/>
      <c r="O42" s="46"/>
    </row>
    <row r="43" spans="2:19" ht="24.95" customHeight="1">
      <c r="M43" s="91"/>
    </row>
    <row r="44" spans="2:19" ht="24.95" customHeight="1">
      <c r="C44" s="617" t="s">
        <v>26</v>
      </c>
      <c r="D44" s="618"/>
      <c r="E44" s="619"/>
      <c r="F44" s="13" t="s">
        <v>27</v>
      </c>
      <c r="H44" s="65" t="s">
        <v>28</v>
      </c>
      <c r="I44" s="66">
        <f ca="1">TODAY()</f>
        <v>46233</v>
      </c>
      <c r="J44" s="6"/>
      <c r="K44" s="14"/>
      <c r="L44"/>
      <c r="M44"/>
      <c r="N44"/>
      <c r="O44" s="6"/>
      <c r="P44" s="6"/>
      <c r="Q44" s="6"/>
      <c r="R44" s="6"/>
      <c r="S44" s="6"/>
    </row>
    <row r="45" spans="2:19" ht="24.95" customHeight="1">
      <c r="C45" s="610" t="s">
        <v>29</v>
      </c>
      <c r="D45" s="611"/>
      <c r="E45" s="611"/>
      <c r="F45" s="52"/>
      <c r="H45" s="67" t="s">
        <v>30</v>
      </c>
      <c r="I45" s="68"/>
    </row>
    <row r="46" spans="2:19" ht="24.95" customHeight="1">
      <c r="B46" s="7"/>
      <c r="C46" s="53" t="s">
        <v>31</v>
      </c>
      <c r="D46" s="54"/>
      <c r="E46" s="55"/>
      <c r="F46" s="56">
        <v>2</v>
      </c>
    </row>
    <row r="47" spans="2:19" ht="24.95" customHeight="1">
      <c r="B47" s="7"/>
      <c r="C47" s="57" t="s">
        <v>32</v>
      </c>
      <c r="D47" s="58"/>
      <c r="E47" s="59"/>
      <c r="F47" s="60">
        <v>0</v>
      </c>
      <c r="H47" s="15"/>
      <c r="I47" s="80"/>
      <c r="J47" s="79"/>
    </row>
    <row r="48" spans="2:19" ht="24.95" customHeight="1">
      <c r="C48" s="610" t="s">
        <v>33</v>
      </c>
      <c r="D48" s="611"/>
      <c r="E48" s="611"/>
      <c r="F48" s="52"/>
      <c r="I48" s="80"/>
      <c r="J48" s="79"/>
    </row>
    <row r="49" spans="1:8" ht="24.95" customHeight="1">
      <c r="B49" s="7"/>
      <c r="C49" s="53" t="s">
        <v>34</v>
      </c>
      <c r="D49" s="54"/>
      <c r="E49" s="55"/>
      <c r="F49" s="56">
        <v>2</v>
      </c>
    </row>
    <row r="50" spans="1:8" ht="24.95" customHeight="1">
      <c r="B50" s="7"/>
      <c r="C50" s="57" t="s">
        <v>35</v>
      </c>
      <c r="D50" s="58"/>
      <c r="E50" s="59"/>
      <c r="F50" s="60">
        <v>0</v>
      </c>
    </row>
    <row r="51" spans="1:8" ht="24.95" customHeight="1">
      <c r="A51" s="6"/>
      <c r="C51" s="610" t="s">
        <v>36</v>
      </c>
      <c r="D51" s="611"/>
      <c r="E51" s="611"/>
      <c r="F51" s="52"/>
    </row>
    <row r="52" spans="1:8" ht="24.95" customHeight="1">
      <c r="C52" s="57" t="s">
        <v>37</v>
      </c>
      <c r="D52" s="58"/>
      <c r="E52" s="59"/>
      <c r="F52" s="60">
        <v>3</v>
      </c>
      <c r="H52" s="6"/>
    </row>
    <row r="53" spans="1:8" ht="24.95" customHeight="1">
      <c r="C53" s="57" t="s">
        <v>38</v>
      </c>
      <c r="D53" s="58"/>
      <c r="E53" s="59"/>
      <c r="F53" s="60">
        <v>2</v>
      </c>
      <c r="H53" s="6"/>
    </row>
    <row r="54" spans="1:8" ht="24.95" customHeight="1">
      <c r="C54" s="57" t="s">
        <v>39</v>
      </c>
      <c r="D54" s="58"/>
      <c r="E54" s="59"/>
      <c r="F54" s="60">
        <v>1</v>
      </c>
      <c r="H54" s="6"/>
    </row>
    <row r="55" spans="1:8" ht="24.95" customHeight="1">
      <c r="C55" s="57" t="s">
        <v>73</v>
      </c>
      <c r="D55" s="58"/>
      <c r="E55" s="59"/>
      <c r="F55" s="60">
        <v>0</v>
      </c>
      <c r="H55" s="6"/>
    </row>
    <row r="56" spans="1:8" ht="24.95" customHeight="1">
      <c r="C56" s="610" t="s">
        <v>40</v>
      </c>
      <c r="D56" s="611"/>
      <c r="E56" s="611"/>
      <c r="F56" s="52"/>
    </row>
    <row r="57" spans="1:8" ht="24.95" customHeight="1">
      <c r="C57" s="61" t="s">
        <v>41</v>
      </c>
      <c r="D57" s="58"/>
      <c r="E57" s="59"/>
      <c r="F57" s="60">
        <v>3</v>
      </c>
    </row>
    <row r="58" spans="1:8" ht="24.95" customHeight="1">
      <c r="C58" s="61" t="s">
        <v>42</v>
      </c>
      <c r="D58" s="58"/>
      <c r="E58" s="59"/>
      <c r="F58" s="60">
        <v>2</v>
      </c>
    </row>
    <row r="59" spans="1:8" ht="24.95" customHeight="1">
      <c r="C59" s="61" t="s">
        <v>43</v>
      </c>
      <c r="D59" s="58"/>
      <c r="E59" s="59"/>
      <c r="F59" s="60">
        <v>1</v>
      </c>
    </row>
    <row r="60" spans="1:8" ht="24.95" customHeight="1">
      <c r="C60" s="61" t="s">
        <v>55</v>
      </c>
      <c r="D60" s="58"/>
      <c r="E60" s="58"/>
      <c r="F60" s="52">
        <v>0</v>
      </c>
    </row>
    <row r="61" spans="1:8" ht="24.95" customHeight="1">
      <c r="C61" s="610" t="s">
        <v>44</v>
      </c>
      <c r="D61" s="611"/>
      <c r="E61" s="611"/>
      <c r="F61" s="52"/>
    </row>
    <row r="62" spans="1:8" ht="24.95" customHeight="1">
      <c r="C62" s="57" t="s">
        <v>45</v>
      </c>
      <c r="D62" s="58"/>
      <c r="E62" s="59"/>
      <c r="F62" s="60">
        <v>2</v>
      </c>
    </row>
    <row r="63" spans="1:8" ht="24.95" customHeight="1">
      <c r="C63" s="57" t="s">
        <v>46</v>
      </c>
      <c r="D63" s="58"/>
      <c r="E63" s="59"/>
      <c r="F63" s="60">
        <v>0</v>
      </c>
    </row>
    <row r="64" spans="1:8" ht="24.95" customHeight="1">
      <c r="C64" s="610" t="s">
        <v>58</v>
      </c>
      <c r="D64" s="611"/>
      <c r="E64" s="611"/>
      <c r="F64" s="612"/>
    </row>
    <row r="65" spans="2:8" ht="24.95" customHeight="1">
      <c r="C65" s="57" t="s">
        <v>59</v>
      </c>
      <c r="D65" s="58"/>
      <c r="E65" s="59"/>
      <c r="F65" s="60">
        <v>2</v>
      </c>
    </row>
    <row r="66" spans="2:8" ht="24.95" customHeight="1">
      <c r="C66" s="57" t="s">
        <v>60</v>
      </c>
      <c r="D66" s="58"/>
      <c r="E66" s="59"/>
      <c r="F66" s="60">
        <v>0</v>
      </c>
    </row>
    <row r="67" spans="2:8" ht="24.95" customHeight="1">
      <c r="C67" s="613" t="s">
        <v>47</v>
      </c>
      <c r="D67" s="614"/>
      <c r="E67" s="615"/>
      <c r="F67" s="62" t="s">
        <v>48</v>
      </c>
    </row>
    <row r="68" spans="2:8" ht="24.95" customHeight="1">
      <c r="B68" s="6"/>
      <c r="C68" s="63"/>
      <c r="D68" s="63"/>
      <c r="E68" s="63" t="s">
        <v>15</v>
      </c>
      <c r="F68" s="64">
        <f>10+F46+F49+F52+F57+F62+F65</f>
        <v>24</v>
      </c>
      <c r="H68" s="6"/>
    </row>
    <row r="69" spans="2:8" ht="20.100000000000001" customHeight="1"/>
  </sheetData>
  <mergeCells count="84">
    <mergeCell ref="C51:E51"/>
    <mergeCell ref="C56:E56"/>
    <mergeCell ref="C61:E61"/>
    <mergeCell ref="C64:F64"/>
    <mergeCell ref="C67:E67"/>
    <mergeCell ref="C48:E48"/>
    <mergeCell ref="B31:H32"/>
    <mergeCell ref="I31:J31"/>
    <mergeCell ref="K31:L31"/>
    <mergeCell ref="M31:N31"/>
    <mergeCell ref="B37:H37"/>
    <mergeCell ref="B38:H38"/>
    <mergeCell ref="B39:H39"/>
    <mergeCell ref="C44:E44"/>
    <mergeCell ref="C45:E45"/>
    <mergeCell ref="O31:P31"/>
    <mergeCell ref="B33:H34"/>
    <mergeCell ref="I33:J33"/>
    <mergeCell ref="K33:L33"/>
    <mergeCell ref="M33:N33"/>
    <mergeCell ref="O33:P33"/>
    <mergeCell ref="B26:H28"/>
    <mergeCell ref="I26:J26"/>
    <mergeCell ref="K26:L26"/>
    <mergeCell ref="M26:N26"/>
    <mergeCell ref="O26:P26"/>
    <mergeCell ref="B29:H30"/>
    <mergeCell ref="I29:J29"/>
    <mergeCell ref="K29:L29"/>
    <mergeCell ref="M29:N29"/>
    <mergeCell ref="O29:P29"/>
    <mergeCell ref="B24:H25"/>
    <mergeCell ref="M18:N18"/>
    <mergeCell ref="O18:P18"/>
    <mergeCell ref="B20:H20"/>
    <mergeCell ref="B21:H21"/>
    <mergeCell ref="I21:J21"/>
    <mergeCell ref="K21:L21"/>
    <mergeCell ref="M21:N21"/>
    <mergeCell ref="O21:P21"/>
    <mergeCell ref="B22:H23"/>
    <mergeCell ref="I22:J22"/>
    <mergeCell ref="K22:L22"/>
    <mergeCell ref="M22:N22"/>
    <mergeCell ref="O22:P22"/>
    <mergeCell ref="K16:L16"/>
    <mergeCell ref="O16:P16"/>
    <mergeCell ref="A17:A20"/>
    <mergeCell ref="B17:G17"/>
    <mergeCell ref="I17:J17"/>
    <mergeCell ref="K17:L17"/>
    <mergeCell ref="B18:H19"/>
    <mergeCell ref="I18:J18"/>
    <mergeCell ref="K18:L18"/>
    <mergeCell ref="I16:J16"/>
    <mergeCell ref="C13:D13"/>
    <mergeCell ref="C14:D14"/>
    <mergeCell ref="A15:A16"/>
    <mergeCell ref="B15:G15"/>
    <mergeCell ref="B16:G16"/>
    <mergeCell ref="A9:A14"/>
    <mergeCell ref="C9:D9"/>
    <mergeCell ref="C10:D10"/>
    <mergeCell ref="C11:D11"/>
    <mergeCell ref="C12:D12"/>
    <mergeCell ref="C8:D8"/>
    <mergeCell ref="R8:S8"/>
    <mergeCell ref="T8:U8"/>
    <mergeCell ref="V8:W8"/>
    <mergeCell ref="X8:Y8"/>
    <mergeCell ref="I6:Y6"/>
    <mergeCell ref="B7:H7"/>
    <mergeCell ref="I7:J7"/>
    <mergeCell ref="K7:L7"/>
    <mergeCell ref="M7:N7"/>
    <mergeCell ref="O7:P7"/>
    <mergeCell ref="T7:Y7"/>
    <mergeCell ref="B5:C5"/>
    <mergeCell ref="D5:G5"/>
    <mergeCell ref="A1:T1"/>
    <mergeCell ref="B3:C3"/>
    <mergeCell ref="D3:G3"/>
    <mergeCell ref="B4:C4"/>
    <mergeCell ref="D4:G4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FE01-E92E-418E-A077-B2E2C083CBA9}">
  <sheetPr>
    <tabColor theme="0" tint="-4.9989318521683403E-2"/>
  </sheetPr>
  <dimension ref="A1:N72"/>
  <sheetViews>
    <sheetView topLeftCell="A3" zoomScale="60" zoomScaleNormal="60" workbookViewId="0">
      <pane ySplit="5" topLeftCell="A25" activePane="bottomLeft" state="frozen"/>
      <selection activeCell="G3" sqref="G3"/>
      <selection pane="bottomLeft" activeCell="G49" sqref="G49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93.62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4" width="25.625" style="5" customWidth="1"/>
    <col min="15" max="16384" width="11.5" style="5"/>
  </cols>
  <sheetData>
    <row r="1" spans="1:14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</row>
    <row r="2" spans="1:14" ht="20.25" customHeight="1" thickBot="1"/>
    <row r="3" spans="1:14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2"/>
      <c r="L3" s="22"/>
      <c r="M3" s="21" t="s">
        <v>5</v>
      </c>
      <c r="N3" s="23">
        <v>1</v>
      </c>
    </row>
    <row r="4" spans="1:14" ht="63" customHeight="1">
      <c r="A4" s="25"/>
      <c r="B4" s="690" t="s">
        <v>6</v>
      </c>
      <c r="C4" s="690"/>
      <c r="D4" s="691" t="s">
        <v>142</v>
      </c>
      <c r="E4" s="691"/>
      <c r="F4" s="691"/>
      <c r="G4" s="691"/>
      <c r="H4" s="22"/>
      <c r="I4" s="26"/>
      <c r="J4" s="81"/>
      <c r="K4" s="81"/>
      <c r="L4" s="81"/>
      <c r="M4" s="22"/>
      <c r="N4" s="22"/>
    </row>
    <row r="5" spans="1:14" ht="18" customHeigh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</row>
    <row r="6" spans="1:14" ht="18" customHeight="1" thickBot="1">
      <c r="A6" s="6"/>
      <c r="B6" s="6"/>
      <c r="C6" s="6"/>
      <c r="D6" s="6"/>
      <c r="E6" s="6"/>
      <c r="F6" s="6"/>
      <c r="G6" s="6"/>
      <c r="H6" s="6"/>
      <c r="I6" s="693"/>
      <c r="J6" s="694"/>
      <c r="K6" s="694"/>
      <c r="L6" s="694"/>
      <c r="M6" s="694"/>
      <c r="N6" s="694"/>
    </row>
    <row r="7" spans="1:14" ht="62.25" customHeight="1" thickBot="1">
      <c r="B7" s="695" t="s">
        <v>8</v>
      </c>
      <c r="C7" s="696"/>
      <c r="D7" s="696"/>
      <c r="E7" s="696"/>
      <c r="F7" s="696"/>
      <c r="G7" s="696"/>
      <c r="H7" s="696"/>
      <c r="I7" s="697" t="s">
        <v>175</v>
      </c>
      <c r="J7" s="698"/>
      <c r="K7" s="697" t="s">
        <v>176</v>
      </c>
      <c r="L7" s="698"/>
      <c r="M7" s="697" t="s">
        <v>177</v>
      </c>
      <c r="N7" s="698"/>
    </row>
    <row r="8" spans="1:14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9" t="s">
        <v>15</v>
      </c>
      <c r="I8" s="18" t="s">
        <v>14</v>
      </c>
      <c r="J8" s="19" t="s">
        <v>15</v>
      </c>
      <c r="K8" s="18" t="s">
        <v>14</v>
      </c>
      <c r="L8" s="19" t="s">
        <v>15</v>
      </c>
      <c r="M8" s="18" t="s">
        <v>14</v>
      </c>
      <c r="N8" s="19" t="s">
        <v>15</v>
      </c>
    </row>
    <row r="9" spans="1:14" ht="45.75" customHeight="1">
      <c r="A9" s="679"/>
      <c r="B9" s="337">
        <v>1</v>
      </c>
      <c r="C9" s="680" t="s">
        <v>143</v>
      </c>
      <c r="D9" s="681"/>
      <c r="E9" s="298" t="s">
        <v>144</v>
      </c>
      <c r="F9" s="338">
        <v>16.8</v>
      </c>
      <c r="G9" s="339">
        <v>1817.94</v>
      </c>
      <c r="H9" s="342">
        <f t="shared" ref="H9:H14" si="0">F9*G9</f>
        <v>30541.392000000003</v>
      </c>
      <c r="I9" s="499">
        <v>885</v>
      </c>
      <c r="J9" s="349">
        <f>F9*I9</f>
        <v>14868</v>
      </c>
      <c r="K9" s="499">
        <v>885</v>
      </c>
      <c r="L9" s="213">
        <f>F9*K9</f>
        <v>14868</v>
      </c>
      <c r="M9" s="499">
        <v>885</v>
      </c>
      <c r="N9" s="343">
        <f>F9*M9</f>
        <v>14868</v>
      </c>
    </row>
    <row r="10" spans="1:14" ht="48" customHeight="1">
      <c r="A10" s="679"/>
      <c r="B10" s="224">
        <v>2</v>
      </c>
      <c r="C10" s="682" t="s">
        <v>145</v>
      </c>
      <c r="D10" s="683"/>
      <c r="E10" s="304" t="s">
        <v>144</v>
      </c>
      <c r="F10" s="340">
        <v>144.69999999999999</v>
      </c>
      <c r="G10" s="341">
        <v>1593</v>
      </c>
      <c r="H10" s="344">
        <f t="shared" si="0"/>
        <v>230507.09999999998</v>
      </c>
      <c r="I10" s="609">
        <f>100*(26.25*1.18*60)</f>
        <v>185849.99999999997</v>
      </c>
      <c r="J10" s="217">
        <f>I10</f>
        <v>185849.99999999997</v>
      </c>
      <c r="K10" s="608">
        <f>100*(22*1.18*60)</f>
        <v>155760</v>
      </c>
      <c r="L10" s="222">
        <f>K10</f>
        <v>155760</v>
      </c>
      <c r="M10" s="608">
        <f>(22.65*1.18*60)*100</f>
        <v>160362</v>
      </c>
      <c r="N10" s="215">
        <f>M10</f>
        <v>160362</v>
      </c>
    </row>
    <row r="11" spans="1:14" ht="48" customHeight="1">
      <c r="A11" s="679"/>
      <c r="B11" s="224">
        <v>3</v>
      </c>
      <c r="C11" s="682" t="s">
        <v>146</v>
      </c>
      <c r="D11" s="683"/>
      <c r="E11" s="304" t="s">
        <v>144</v>
      </c>
      <c r="F11" s="340">
        <v>27</v>
      </c>
      <c r="G11" s="341">
        <v>1534</v>
      </c>
      <c r="H11" s="344">
        <f t="shared" si="0"/>
        <v>41418</v>
      </c>
      <c r="I11" s="223">
        <v>885</v>
      </c>
      <c r="J11" s="217">
        <f>F11*I11</f>
        <v>23895</v>
      </c>
      <c r="K11" s="218">
        <v>885</v>
      </c>
      <c r="L11" s="222">
        <f>F11*K11</f>
        <v>23895</v>
      </c>
      <c r="M11" s="214">
        <f>I11</f>
        <v>885</v>
      </c>
      <c r="N11" s="215">
        <f>F11*M11</f>
        <v>23895</v>
      </c>
    </row>
    <row r="12" spans="1:14" ht="48" customHeight="1">
      <c r="A12" s="679"/>
      <c r="B12" s="224">
        <v>4</v>
      </c>
      <c r="C12" s="684" t="s">
        <v>149</v>
      </c>
      <c r="D12" s="684"/>
      <c r="E12" s="225" t="s">
        <v>108</v>
      </c>
      <c r="F12" s="225">
        <v>21.9</v>
      </c>
      <c r="G12" s="226">
        <v>591.71</v>
      </c>
      <c r="H12" s="344">
        <f t="shared" si="0"/>
        <v>12958.449000000001</v>
      </c>
      <c r="I12" s="90">
        <v>508.7</v>
      </c>
      <c r="J12" s="172">
        <f>F12*I12</f>
        <v>11140.529999999999</v>
      </c>
      <c r="K12" s="90">
        <f>I12</f>
        <v>508.7</v>
      </c>
      <c r="L12" s="101">
        <f>F12*I12</f>
        <v>11140.529999999999</v>
      </c>
      <c r="M12" s="90">
        <f>I12</f>
        <v>508.7</v>
      </c>
      <c r="N12" s="172">
        <f>F12*M12</f>
        <v>11140.529999999999</v>
      </c>
    </row>
    <row r="13" spans="1:14" ht="48" customHeight="1">
      <c r="A13" s="679"/>
      <c r="B13" s="224">
        <v>5</v>
      </c>
      <c r="C13" s="684" t="s">
        <v>147</v>
      </c>
      <c r="D13" s="684"/>
      <c r="E13" s="225" t="s">
        <v>50</v>
      </c>
      <c r="F13" s="225">
        <f>2*6</f>
        <v>12</v>
      </c>
      <c r="G13" s="226">
        <f>2700*1.18</f>
        <v>3186</v>
      </c>
      <c r="H13" s="344">
        <f t="shared" si="0"/>
        <v>38232</v>
      </c>
      <c r="I13" s="500">
        <f>(23.25*60.2*2*6)/12</f>
        <v>1399.6500000000003</v>
      </c>
      <c r="J13" s="350">
        <f>F13*I13</f>
        <v>16795.800000000003</v>
      </c>
      <c r="K13" s="173">
        <f>I13</f>
        <v>1399.6500000000003</v>
      </c>
      <c r="L13" s="101">
        <f>K13*F13</f>
        <v>16795.800000000003</v>
      </c>
      <c r="M13" s="90">
        <f>I13</f>
        <v>1399.6500000000003</v>
      </c>
      <c r="N13" s="172">
        <f>F13*M13</f>
        <v>16795.800000000003</v>
      </c>
    </row>
    <row r="14" spans="1:14" ht="48" customHeight="1" thickBot="1">
      <c r="A14" s="679"/>
      <c r="B14" s="228"/>
      <c r="C14" s="684" t="s">
        <v>148</v>
      </c>
      <c r="D14" s="684"/>
      <c r="E14" s="229" t="s">
        <v>50</v>
      </c>
      <c r="F14" s="229">
        <v>12</v>
      </c>
      <c r="G14" s="230">
        <v>1800.57</v>
      </c>
      <c r="H14" s="344">
        <f t="shared" si="0"/>
        <v>21606.84</v>
      </c>
      <c r="I14" s="232">
        <f>G14</f>
        <v>1800.57</v>
      </c>
      <c r="J14" s="501">
        <f>F14*I14</f>
        <v>21606.84</v>
      </c>
      <c r="K14" s="177">
        <f>G14</f>
        <v>1800.57</v>
      </c>
      <c r="L14" s="178">
        <f>K14*F14</f>
        <v>21606.84</v>
      </c>
      <c r="M14" s="232">
        <f>G14</f>
        <v>1800.57</v>
      </c>
      <c r="N14" s="312">
        <f>F14*M14</f>
        <v>21606.84</v>
      </c>
    </row>
    <row r="15" spans="1:14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235">
        <f>SUM(H9:H14)</f>
        <v>375263.78100000002</v>
      </c>
      <c r="I15" s="236"/>
      <c r="J15" s="237">
        <f>SUM(J9:J14)</f>
        <v>274156.17</v>
      </c>
      <c r="K15" s="237"/>
      <c r="L15" s="238">
        <f>SUM(L9:L14)</f>
        <v>244066.17</v>
      </c>
      <c r="M15" s="94"/>
      <c r="N15" s="317">
        <f>SUM(N9:N14)</f>
        <v>248668.17</v>
      </c>
    </row>
    <row r="16" spans="1:14" ht="25.5" customHeight="1">
      <c r="A16" s="665"/>
      <c r="B16" s="669" t="s">
        <v>49</v>
      </c>
      <c r="C16" s="670"/>
      <c r="D16" s="670"/>
      <c r="E16" s="670"/>
      <c r="F16" s="670"/>
      <c r="G16" s="670"/>
      <c r="H16" s="239"/>
      <c r="I16" s="671">
        <f>I15*0.18</f>
        <v>0</v>
      </c>
      <c r="J16" s="672"/>
      <c r="K16" s="89"/>
      <c r="L16" s="89">
        <v>0</v>
      </c>
      <c r="M16" s="673">
        <f>0.18*M15</f>
        <v>0</v>
      </c>
      <c r="N16" s="672"/>
    </row>
    <row r="17" spans="1:14" ht="22.5" customHeigh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240">
        <f>H15+H16</f>
        <v>375263.78100000002</v>
      </c>
      <c r="I17" s="675">
        <f>J15</f>
        <v>274156.17</v>
      </c>
      <c r="J17" s="676"/>
      <c r="K17" s="241"/>
      <c r="L17" s="242">
        <f>L15</f>
        <v>244066.17</v>
      </c>
      <c r="M17" s="677">
        <f>N15</f>
        <v>248668.17</v>
      </c>
      <c r="N17" s="678"/>
    </row>
    <row r="18" spans="1:14" ht="27" customHeight="1">
      <c r="A18" s="665"/>
      <c r="B18" s="647" t="s">
        <v>20</v>
      </c>
      <c r="C18" s="648"/>
      <c r="D18" s="648"/>
      <c r="E18" s="648"/>
      <c r="F18" s="648"/>
      <c r="G18" s="648"/>
      <c r="H18" s="649"/>
      <c r="I18" s="644"/>
      <c r="J18" s="645"/>
      <c r="K18" s="161"/>
      <c r="L18" s="148"/>
      <c r="M18" s="646"/>
      <c r="N18" s="645"/>
    </row>
    <row r="19" spans="1:14" ht="23.25" customHeight="1">
      <c r="A19" s="665"/>
      <c r="B19" s="647"/>
      <c r="C19" s="648"/>
      <c r="D19" s="648"/>
      <c r="E19" s="648"/>
      <c r="F19" s="648"/>
      <c r="G19" s="648"/>
      <c r="H19" s="649"/>
      <c r="I19" s="51" t="s">
        <v>21</v>
      </c>
      <c r="J19" s="148">
        <v>2</v>
      </c>
      <c r="K19" s="49" t="s">
        <v>21</v>
      </c>
      <c r="L19" s="22">
        <v>1</v>
      </c>
      <c r="M19" s="149" t="s">
        <v>21</v>
      </c>
      <c r="N19" s="148">
        <v>3</v>
      </c>
    </row>
    <row r="20" spans="1:14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649"/>
      <c r="I20" s="102" t="s">
        <v>23</v>
      </c>
      <c r="J20" s="103">
        <f>IF(OR($H$17=0,I17=0),"-",I17-$H$17)</f>
        <v>-101107.61100000003</v>
      </c>
      <c r="K20" s="102" t="s">
        <v>23</v>
      </c>
      <c r="L20" s="103">
        <f>IF(OR($H$17=0,L17=0),"-",L17-$H$17)</f>
        <v>-131197.611</v>
      </c>
      <c r="M20" s="102" t="s">
        <v>23</v>
      </c>
      <c r="N20" s="103">
        <f>IF(OR($H$17=0,M17=0),"-",M17-$H$17)</f>
        <v>-126595.611</v>
      </c>
    </row>
    <row r="21" spans="1:14" ht="24.95" customHeight="1">
      <c r="A21" s="7"/>
      <c r="B21" s="650" t="s">
        <v>51</v>
      </c>
      <c r="C21" s="651"/>
      <c r="D21" s="651"/>
      <c r="E21" s="651"/>
      <c r="F21" s="651"/>
      <c r="G21" s="651"/>
      <c r="H21" s="652"/>
      <c r="I21" s="653">
        <f>J20*77</f>
        <v>-7785286.0470000021</v>
      </c>
      <c r="J21" s="654"/>
      <c r="K21" s="655">
        <f>L20*77</f>
        <v>-10102216.047</v>
      </c>
      <c r="L21" s="656"/>
      <c r="M21" s="657">
        <f>N20*77</f>
        <v>-9747862.0470000003</v>
      </c>
      <c r="N21" s="658"/>
    </row>
    <row r="22" spans="1:14" ht="24.95" customHeight="1">
      <c r="A22" s="7"/>
      <c r="B22" s="621" t="s">
        <v>20</v>
      </c>
      <c r="C22" s="622"/>
      <c r="D22" s="622"/>
      <c r="E22" s="622"/>
      <c r="F22" s="622"/>
      <c r="G22" s="622"/>
      <c r="H22" s="623"/>
      <c r="I22" s="659" t="str">
        <f>IF(OR($H$17=0,I17=0),"",IF(I17&lt;=$H$17,$C$49,$C$50))</f>
        <v>Precio menor o igual al presupuesto</v>
      </c>
      <c r="J22" s="660"/>
      <c r="K22" s="661" t="str">
        <f>IF(OR($H$17=0,L17=0),"",IF(L17&lt;=$H$17,$C$49,$C$50))</f>
        <v>Precio menor o igual al presupuesto</v>
      </c>
      <c r="L22" s="662"/>
      <c r="M22" s="663" t="str">
        <f>IF(OR($H$17=0,M17=0),"",IF(M17&lt;=$H$17,$C$49,$C$50))</f>
        <v>Precio menor o igual al presupuesto</v>
      </c>
      <c r="N22" s="660"/>
    </row>
    <row r="23" spans="1:14" ht="24.95" customHeight="1">
      <c r="A23" s="7"/>
      <c r="B23" s="621"/>
      <c r="C23" s="622"/>
      <c r="D23" s="622"/>
      <c r="E23" s="622"/>
      <c r="F23" s="622"/>
      <c r="G23" s="622"/>
      <c r="H23" s="623"/>
      <c r="I23" s="244" t="s">
        <v>21</v>
      </c>
      <c r="J23" s="109">
        <f>IF(I22=$C$49,$F$49,0)</f>
        <v>2</v>
      </c>
      <c r="K23" s="245" t="s">
        <v>21</v>
      </c>
      <c r="L23" s="245">
        <f>IF(K22=$C$49,$F$49,0)</f>
        <v>2</v>
      </c>
      <c r="M23" s="108" t="s">
        <v>21</v>
      </c>
      <c r="N23" s="109">
        <f>IF(M22=$C$49,$F$49,0)</f>
        <v>2</v>
      </c>
    </row>
    <row r="24" spans="1:14" ht="24.95" customHeight="1">
      <c r="A24" s="7"/>
      <c r="B24" s="621" t="s">
        <v>22</v>
      </c>
      <c r="C24" s="622"/>
      <c r="D24" s="622"/>
      <c r="E24" s="622"/>
      <c r="F24" s="622"/>
      <c r="G24" s="622"/>
      <c r="H24" s="623"/>
      <c r="I24" s="244" t="s">
        <v>23</v>
      </c>
      <c r="J24" s="101">
        <f>IF(OR($H$17=0,I17=0),"-",I17-$H$17)</f>
        <v>-101107.61100000003</v>
      </c>
      <c r="K24" s="246" t="s">
        <v>23</v>
      </c>
      <c r="L24" s="246">
        <f>IF(OR($H$17=0,L17=0),"-",L17-$H$17)</f>
        <v>-131197.611</v>
      </c>
      <c r="M24" s="108" t="s">
        <v>23</v>
      </c>
      <c r="N24" s="101">
        <f>IF(OR($H$17=0,M17=0),"-",M17-$H$17)</f>
        <v>-126595.611</v>
      </c>
    </row>
    <row r="25" spans="1:14" ht="34.5" customHeight="1">
      <c r="A25" s="7"/>
      <c r="B25" s="621"/>
      <c r="C25" s="622"/>
      <c r="D25" s="622"/>
      <c r="E25" s="622"/>
      <c r="F25" s="622"/>
      <c r="G25" s="622"/>
      <c r="H25" s="623"/>
      <c r="I25" s="111" t="s">
        <v>21</v>
      </c>
      <c r="J25" s="50">
        <f>IF(AND(J24&lt;N24,J24&lt;L24),2,0)</f>
        <v>0</v>
      </c>
      <c r="K25" s="247" t="s">
        <v>21</v>
      </c>
      <c r="L25" s="247">
        <f>IF(AND(L24&lt;J24,L24&lt;N24),2,0)</f>
        <v>2</v>
      </c>
      <c r="M25" s="110" t="s">
        <v>21</v>
      </c>
      <c r="N25" s="50">
        <f>IF(AND(N24&lt;J24,N24&lt;L24),2,0)</f>
        <v>0</v>
      </c>
    </row>
    <row r="26" spans="1:14" ht="34.5" customHeight="1">
      <c r="A26" s="7"/>
      <c r="B26" s="628" t="s">
        <v>53</v>
      </c>
      <c r="C26" s="629"/>
      <c r="D26" s="629"/>
      <c r="E26" s="629"/>
      <c r="F26" s="629"/>
      <c r="G26" s="629"/>
      <c r="H26" s="629"/>
      <c r="I26" s="642" t="str">
        <f>C58</f>
        <v>Otras negociaciones CONTADO</v>
      </c>
      <c r="J26" s="643"/>
      <c r="K26" s="642" t="str">
        <f>C58</f>
        <v>Otras negociaciones CONTADO</v>
      </c>
      <c r="L26" s="643"/>
      <c r="M26" s="642" t="str">
        <f>C58</f>
        <v>Otras negociaciones CONTADO</v>
      </c>
      <c r="N26" s="643"/>
    </row>
    <row r="27" spans="1:14" ht="24.95" customHeight="1">
      <c r="B27" s="638"/>
      <c r="C27" s="639"/>
      <c r="D27" s="639"/>
      <c r="E27" s="639"/>
      <c r="F27" s="639"/>
      <c r="G27" s="639"/>
      <c r="H27" s="639"/>
      <c r="I27" s="113" t="s">
        <v>21</v>
      </c>
      <c r="J27" s="114">
        <v>0</v>
      </c>
      <c r="K27" s="113" t="s">
        <v>21</v>
      </c>
      <c r="L27" s="114">
        <v>0</v>
      </c>
      <c r="M27" s="113" t="s">
        <v>21</v>
      </c>
      <c r="N27" s="114">
        <v>0</v>
      </c>
    </row>
    <row r="28" spans="1:14" ht="24.95" customHeight="1">
      <c r="B28" s="638"/>
      <c r="C28" s="639"/>
      <c r="D28" s="639"/>
      <c r="E28" s="639"/>
      <c r="F28" s="639"/>
      <c r="G28" s="639"/>
      <c r="H28" s="639"/>
      <c r="I28" s="248" t="s">
        <v>110</v>
      </c>
      <c r="J28" s="249"/>
      <c r="K28" s="248" t="s">
        <v>110</v>
      </c>
      <c r="L28" s="249"/>
      <c r="M28" s="248" t="s">
        <v>110</v>
      </c>
      <c r="N28" s="250"/>
    </row>
    <row r="29" spans="1:14" ht="24.95" customHeight="1">
      <c r="B29" s="638"/>
      <c r="C29" s="639"/>
      <c r="D29" s="639"/>
      <c r="E29" s="639"/>
      <c r="F29" s="639"/>
      <c r="G29" s="639"/>
      <c r="H29" s="639"/>
      <c r="I29" s="248" t="s">
        <v>111</v>
      </c>
      <c r="J29" s="249"/>
      <c r="K29" s="248" t="s">
        <v>111</v>
      </c>
      <c r="L29" s="251"/>
      <c r="M29" s="248" t="s">
        <v>111</v>
      </c>
      <c r="N29" s="250"/>
    </row>
    <row r="30" spans="1:14" ht="24.95" customHeight="1">
      <c r="B30" s="638"/>
      <c r="C30" s="639"/>
      <c r="D30" s="639"/>
      <c r="E30" s="639"/>
      <c r="F30" s="639"/>
      <c r="G30" s="639"/>
      <c r="H30" s="639"/>
      <c r="I30" s="248" t="s">
        <v>112</v>
      </c>
      <c r="J30" s="249"/>
      <c r="K30" s="248" t="s">
        <v>112</v>
      </c>
      <c r="L30" s="251"/>
      <c r="M30" s="248" t="s">
        <v>112</v>
      </c>
      <c r="N30" s="250"/>
    </row>
    <row r="31" spans="1:14" ht="24.95" customHeight="1">
      <c r="B31" s="640"/>
      <c r="C31" s="641"/>
      <c r="D31" s="641"/>
      <c r="E31" s="641"/>
      <c r="F31" s="641"/>
      <c r="G31" s="641"/>
      <c r="H31" s="641"/>
      <c r="I31" s="248" t="s">
        <v>113</v>
      </c>
      <c r="J31" s="249"/>
      <c r="K31" s="248" t="s">
        <v>113</v>
      </c>
      <c r="L31" s="251"/>
      <c r="M31" s="248" t="s">
        <v>113</v>
      </c>
      <c r="N31" s="250"/>
    </row>
    <row r="32" spans="1:14" ht="24.95" customHeight="1">
      <c r="B32" s="621" t="s">
        <v>54</v>
      </c>
      <c r="C32" s="622"/>
      <c r="D32" s="622"/>
      <c r="E32" s="622"/>
      <c r="F32" s="622"/>
      <c r="G32" s="622"/>
      <c r="H32" s="623"/>
      <c r="I32" s="624" t="str">
        <f>C63</f>
        <v>A los 60 días</v>
      </c>
      <c r="J32" s="625"/>
      <c r="K32" s="624" t="str">
        <f>C63</f>
        <v>A los 60 días</v>
      </c>
      <c r="L32" s="625"/>
      <c r="M32" s="624" t="str">
        <f>C63</f>
        <v>A los 60 días</v>
      </c>
      <c r="N32" s="625"/>
    </row>
    <row r="33" spans="2:14" ht="47.25" customHeight="1">
      <c r="B33" s="621"/>
      <c r="C33" s="622"/>
      <c r="D33" s="622"/>
      <c r="E33" s="622"/>
      <c r="F33" s="622"/>
      <c r="G33" s="622"/>
      <c r="H33" s="623"/>
      <c r="I33" s="252" t="s">
        <v>21</v>
      </c>
      <c r="J33" s="112">
        <f>IF(I32=$C$60,$F$60,IF(I32=$C$61,$F$61,IF(I32=$C$62,$F$62,IF(I32=$C$63,F63,0))))</f>
        <v>0</v>
      </c>
      <c r="K33" s="106" t="s">
        <v>21</v>
      </c>
      <c r="L33" s="247">
        <f>IF(K32=$C$60,$F$60,IF(K32=$C$61,$F$61,IF(K32=$C$62,$F$62,IF(K32=$C$63,H63,0))))</f>
        <v>0</v>
      </c>
      <c r="M33" s="115" t="s">
        <v>21</v>
      </c>
      <c r="N33" s="116">
        <f t="shared" ref="N33" si="1">IF(M32=$C$60,$F$60,IF(M32=$C$61,$F$61,IF(M32=$C$62,$F$62,0)))</f>
        <v>0</v>
      </c>
    </row>
    <row r="34" spans="2:14" ht="33.75" customHeight="1">
      <c r="B34" s="621" t="s">
        <v>56</v>
      </c>
      <c r="C34" s="622"/>
      <c r="D34" s="622"/>
      <c r="E34" s="622"/>
      <c r="F34" s="622"/>
      <c r="G34" s="622"/>
      <c r="H34" s="623"/>
      <c r="I34" s="626" t="str">
        <f>C66</f>
        <v>Tiempo mayor al requerido</v>
      </c>
      <c r="J34" s="627"/>
      <c r="K34" s="626" t="str">
        <f>C66</f>
        <v>Tiempo mayor al requerido</v>
      </c>
      <c r="L34" s="627"/>
      <c r="M34" s="626" t="str">
        <f>C66</f>
        <v>Tiempo mayor al requerido</v>
      </c>
      <c r="N34" s="627"/>
    </row>
    <row r="35" spans="2:14" ht="30" customHeight="1">
      <c r="B35" s="621"/>
      <c r="C35" s="622"/>
      <c r="D35" s="622"/>
      <c r="E35" s="622"/>
      <c r="F35" s="622"/>
      <c r="G35" s="622"/>
      <c r="H35" s="623"/>
      <c r="I35" s="51" t="s">
        <v>21</v>
      </c>
      <c r="J35" s="118">
        <f>IF(I34=$C$65,$F$65,0)</f>
        <v>0</v>
      </c>
      <c r="K35" s="253" t="s">
        <v>21</v>
      </c>
      <c r="L35" s="253">
        <f>IF(K34=$C$65,$F$65,0)</f>
        <v>0</v>
      </c>
      <c r="M35" s="51" t="s">
        <v>21</v>
      </c>
      <c r="N35" s="118">
        <f t="shared" ref="N35" si="2">IF(M34=$C$65,$F$65,0)</f>
        <v>0</v>
      </c>
    </row>
    <row r="36" spans="2:14" ht="30" customHeight="1">
      <c r="B36" s="628" t="s">
        <v>57</v>
      </c>
      <c r="C36" s="629"/>
      <c r="D36" s="629"/>
      <c r="E36" s="629"/>
      <c r="F36" s="629"/>
      <c r="G36" s="629"/>
      <c r="H36" s="629"/>
      <c r="I36" s="632" t="str">
        <f>C68</f>
        <v>Excelente</v>
      </c>
      <c r="J36" s="633"/>
      <c r="K36" s="634" t="str">
        <f>C68</f>
        <v>Excelente</v>
      </c>
      <c r="L36" s="635"/>
      <c r="M36" s="634" t="str">
        <f>C68</f>
        <v>Excelente</v>
      </c>
      <c r="N36" s="635"/>
    </row>
    <row r="37" spans="2:14" ht="24.95" customHeight="1" thickBot="1">
      <c r="B37" s="630"/>
      <c r="C37" s="631"/>
      <c r="D37" s="631"/>
      <c r="E37" s="631"/>
      <c r="F37" s="631"/>
      <c r="G37" s="631"/>
      <c r="H37" s="631"/>
      <c r="I37" s="254" t="s">
        <v>21</v>
      </c>
      <c r="J37" s="123">
        <f>IF(I36=$C$68,$F$68,IF(I36=$C$69,$F$69,0))</f>
        <v>2</v>
      </c>
      <c r="K37" s="255" t="s">
        <v>21</v>
      </c>
      <c r="L37" s="255">
        <f>IF(K36=$C$68,$F$68,IF(K36=$C$69,$F$69,0))</f>
        <v>2</v>
      </c>
      <c r="M37" s="124" t="s">
        <v>21</v>
      </c>
      <c r="N37" s="123">
        <f>IF(M36=$C$68,$F$68,IF(M36=$C$69,$F$69,0))</f>
        <v>2</v>
      </c>
    </row>
    <row r="38" spans="2:14" ht="24.95" customHeight="1" thickBot="1">
      <c r="B38" s="119"/>
      <c r="C38" s="120"/>
      <c r="D38" s="120"/>
      <c r="E38" s="120"/>
      <c r="F38" s="120"/>
      <c r="G38" s="120"/>
      <c r="H38" s="120"/>
      <c r="I38" s="256"/>
      <c r="J38" s="134"/>
      <c r="K38" s="257"/>
      <c r="L38" s="257"/>
      <c r="M38" s="135"/>
      <c r="N38" s="134"/>
    </row>
    <row r="39" spans="2:14" ht="24.95" customHeight="1" thickBot="1">
      <c r="B39" s="119"/>
      <c r="C39" s="120"/>
      <c r="D39" s="120"/>
      <c r="E39" s="120"/>
      <c r="F39" s="120"/>
      <c r="G39" s="120"/>
      <c r="H39" s="120"/>
      <c r="I39" s="256"/>
      <c r="J39" s="134"/>
      <c r="K39" s="257"/>
      <c r="L39" s="257"/>
      <c r="M39" s="135"/>
      <c r="N39" s="134"/>
    </row>
    <row r="40" spans="2:14" ht="24.95" customHeight="1" thickBot="1">
      <c r="B40" s="636" t="s">
        <v>62</v>
      </c>
      <c r="C40" s="637"/>
      <c r="D40" s="637"/>
      <c r="E40" s="637"/>
      <c r="F40" s="637"/>
      <c r="G40" s="637"/>
      <c r="H40" s="637"/>
      <c r="I40" s="127"/>
      <c r="J40" s="131">
        <f>J23+J25+J27+J33+J35+J37</f>
        <v>4</v>
      </c>
      <c r="K40" s="128"/>
      <c r="L40" s="128">
        <f>L23+L25+L27+L33+L35+L37</f>
        <v>6</v>
      </c>
      <c r="M40" s="129"/>
      <c r="N40" s="132">
        <f>N23+N25+N27+N33+N35+N37</f>
        <v>4</v>
      </c>
    </row>
    <row r="41" spans="2:14" ht="24.95" customHeight="1" thickBot="1">
      <c r="B41" s="620" t="s">
        <v>61</v>
      </c>
      <c r="C41" s="620"/>
      <c r="D41" s="620"/>
      <c r="E41" s="620"/>
      <c r="F41" s="620"/>
      <c r="G41" s="620"/>
      <c r="H41" s="620"/>
      <c r="I41" s="131"/>
      <c r="J41" s="128">
        <v>10</v>
      </c>
      <c r="K41" s="128"/>
      <c r="L41" s="128">
        <v>10</v>
      </c>
      <c r="M41" s="131"/>
      <c r="N41" s="128">
        <v>10</v>
      </c>
    </row>
    <row r="42" spans="2:14" ht="24.95" customHeight="1" thickBot="1">
      <c r="B42" s="616" t="s">
        <v>63</v>
      </c>
      <c r="C42" s="616"/>
      <c r="D42" s="616"/>
      <c r="E42" s="616"/>
      <c r="F42" s="616"/>
      <c r="G42" s="616"/>
      <c r="H42" s="616"/>
      <c r="I42" s="258"/>
      <c r="J42" s="145">
        <f>J40+J41</f>
        <v>14</v>
      </c>
      <c r="K42" s="259"/>
      <c r="L42" s="145">
        <f>L40+L41</f>
        <v>16</v>
      </c>
      <c r="M42" s="260"/>
      <c r="N42" s="145">
        <f>N40+N41</f>
        <v>14</v>
      </c>
    </row>
    <row r="43" spans="2:14" ht="24.95" customHeight="1">
      <c r="B43" s="69"/>
      <c r="C43" s="70" t="s">
        <v>24</v>
      </c>
      <c r="D43" s="71"/>
      <c r="E43" s="70" t="s">
        <v>25</v>
      </c>
      <c r="F43" s="71"/>
      <c r="G43" s="69"/>
      <c r="H43" s="69"/>
      <c r="I43" s="72" t="str">
        <f>IF($H$17&gt;(3000*$I$48),"COORDINADOR DE PROYECTOS","")</f>
        <v>COORDINADOR DE PROYECTOS</v>
      </c>
      <c r="J43" s="69"/>
      <c r="K43" s="69"/>
      <c r="L43" s="69"/>
      <c r="M43" s="69"/>
      <c r="N43" s="73" t="str">
        <f>IF($H$17&gt;(7500*$I$48),"GERENTE TÉCNICO","")</f>
        <v>GERENTE TÉCNICO</v>
      </c>
    </row>
    <row r="44" spans="2:14" ht="24.95" customHeight="1">
      <c r="B44" s="26"/>
      <c r="C44" s="22"/>
      <c r="D44" s="26"/>
      <c r="E44" s="48" t="s">
        <v>4</v>
      </c>
      <c r="F44" s="26"/>
      <c r="G44" s="26"/>
      <c r="H44" s="26"/>
      <c r="I44" s="26" t="str">
        <f>IF(I43&lt;&gt;"","FECHA:","")</f>
        <v>FECHA:</v>
      </c>
      <c r="J44" s="26"/>
      <c r="K44" s="26"/>
      <c r="L44" s="26"/>
      <c r="M44" s="26"/>
      <c r="N44" s="48" t="str">
        <f>IF(N43&lt;&gt;"","FECHA:","")</f>
        <v>FECHA:</v>
      </c>
    </row>
    <row r="45" spans="2:14" ht="24.95" customHeight="1">
      <c r="B45" s="47"/>
      <c r="C45" s="47"/>
      <c r="H45" s="104"/>
      <c r="N45" s="100"/>
    </row>
    <row r="46" spans="2:14" ht="24.95" customHeight="1"/>
    <row r="47" spans="2:14" ht="24.95" customHeight="1">
      <c r="C47" s="617" t="s">
        <v>26</v>
      </c>
      <c r="D47" s="618"/>
      <c r="E47" s="619"/>
      <c r="F47" s="13" t="s">
        <v>27</v>
      </c>
      <c r="H47" s="65" t="s">
        <v>28</v>
      </c>
      <c r="I47" s="66">
        <f ca="1">TODAY()</f>
        <v>46233</v>
      </c>
      <c r="J47" s="6"/>
      <c r="K47" s="6"/>
      <c r="L47" s="6"/>
      <c r="M47" s="14"/>
      <c r="N47"/>
    </row>
    <row r="48" spans="2:14" ht="24.95" customHeight="1">
      <c r="C48" s="610" t="s">
        <v>29</v>
      </c>
      <c r="D48" s="611"/>
      <c r="E48" s="611"/>
      <c r="F48" s="52"/>
      <c r="H48" s="67" t="s">
        <v>30</v>
      </c>
      <c r="I48" s="68"/>
      <c r="K48" s="264"/>
    </row>
    <row r="49" spans="1:12" ht="24.95" customHeight="1">
      <c r="B49" s="7"/>
      <c r="C49" s="53" t="s">
        <v>31</v>
      </c>
      <c r="D49" s="54"/>
      <c r="E49" s="55"/>
      <c r="F49" s="56">
        <v>2</v>
      </c>
    </row>
    <row r="50" spans="1:12" ht="24.95" customHeight="1">
      <c r="B50" s="7"/>
      <c r="C50" s="57" t="s">
        <v>32</v>
      </c>
      <c r="D50" s="58"/>
      <c r="E50" s="59"/>
      <c r="F50" s="60">
        <v>0</v>
      </c>
      <c r="H50" s="15"/>
      <c r="I50" s="80"/>
      <c r="J50" s="79"/>
      <c r="K50" s="79"/>
      <c r="L50" s="79"/>
    </row>
    <row r="51" spans="1:12" ht="24.95" customHeight="1">
      <c r="C51" s="610" t="s">
        <v>33</v>
      </c>
      <c r="D51" s="611"/>
      <c r="E51" s="611"/>
      <c r="F51" s="52"/>
      <c r="I51" s="80"/>
      <c r="J51" s="79"/>
      <c r="K51" s="79"/>
      <c r="L51" s="79"/>
    </row>
    <row r="52" spans="1:12" ht="24.95" customHeight="1">
      <c r="B52" s="7"/>
      <c r="C52" s="53" t="s">
        <v>34</v>
      </c>
      <c r="D52" s="54"/>
      <c r="E52" s="55"/>
      <c r="F52" s="56">
        <v>2</v>
      </c>
    </row>
    <row r="53" spans="1:12" ht="24.95" customHeight="1">
      <c r="B53" s="7"/>
      <c r="C53" s="57" t="s">
        <v>35</v>
      </c>
      <c r="D53" s="58"/>
      <c r="E53" s="59"/>
      <c r="F53" s="60">
        <v>0</v>
      </c>
    </row>
    <row r="54" spans="1:12" ht="24.95" customHeight="1">
      <c r="A54" s="6"/>
      <c r="C54" s="610" t="s">
        <v>36</v>
      </c>
      <c r="D54" s="611"/>
      <c r="E54" s="611"/>
      <c r="F54" s="52"/>
    </row>
    <row r="55" spans="1:12" ht="24.95" customHeight="1">
      <c r="C55" s="57" t="s">
        <v>37</v>
      </c>
      <c r="D55" s="58"/>
      <c r="E55" s="59"/>
      <c r="F55" s="60">
        <v>3</v>
      </c>
      <c r="H55" s="6"/>
    </row>
    <row r="56" spans="1:12" ht="24.95" customHeight="1">
      <c r="C56" s="57" t="s">
        <v>38</v>
      </c>
      <c r="D56" s="58"/>
      <c r="E56" s="59"/>
      <c r="F56" s="60">
        <v>2</v>
      </c>
      <c r="H56" s="6"/>
    </row>
    <row r="57" spans="1:12" ht="24.95" customHeight="1">
      <c r="C57" s="57" t="s">
        <v>39</v>
      </c>
      <c r="D57" s="58"/>
      <c r="E57" s="59"/>
      <c r="F57" s="60">
        <v>1</v>
      </c>
      <c r="H57" s="6"/>
    </row>
    <row r="58" spans="1:12" ht="24.95" customHeight="1">
      <c r="C58" s="57" t="s">
        <v>73</v>
      </c>
      <c r="D58" s="58"/>
      <c r="E58" s="59"/>
      <c r="F58" s="60">
        <v>0</v>
      </c>
      <c r="H58" s="6"/>
    </row>
    <row r="59" spans="1:12" ht="24.95" customHeight="1">
      <c r="C59" s="610" t="s">
        <v>40</v>
      </c>
      <c r="D59" s="611"/>
      <c r="E59" s="611"/>
      <c r="F59" s="52"/>
    </row>
    <row r="60" spans="1:12" ht="24.95" customHeight="1">
      <c r="C60" s="61" t="s">
        <v>41</v>
      </c>
      <c r="D60" s="58"/>
      <c r="E60" s="59"/>
      <c r="F60" s="60">
        <v>3</v>
      </c>
    </row>
    <row r="61" spans="1:12" ht="24.95" customHeight="1">
      <c r="C61" s="61" t="s">
        <v>42</v>
      </c>
      <c r="D61" s="58"/>
      <c r="E61" s="59"/>
      <c r="F61" s="60">
        <v>2</v>
      </c>
    </row>
    <row r="62" spans="1:12" ht="24.95" customHeight="1">
      <c r="C62" s="61" t="s">
        <v>43</v>
      </c>
      <c r="D62" s="58"/>
      <c r="E62" s="59"/>
      <c r="F62" s="60">
        <v>1</v>
      </c>
    </row>
    <row r="63" spans="1:12" ht="24.95" customHeight="1">
      <c r="C63" s="61" t="s">
        <v>55</v>
      </c>
      <c r="D63" s="58"/>
      <c r="E63" s="58"/>
      <c r="F63" s="52">
        <v>0</v>
      </c>
    </row>
    <row r="64" spans="1:12" ht="24.95" customHeight="1">
      <c r="C64" s="610" t="s">
        <v>44</v>
      </c>
      <c r="D64" s="611"/>
      <c r="E64" s="611"/>
      <c r="F64" s="52"/>
    </row>
    <row r="65" spans="2:8" ht="24.95" customHeight="1">
      <c r="C65" s="57" t="s">
        <v>45</v>
      </c>
      <c r="D65" s="58"/>
      <c r="E65" s="59"/>
      <c r="F65" s="60">
        <v>2</v>
      </c>
    </row>
    <row r="66" spans="2:8" ht="24.95" customHeight="1">
      <c r="C66" s="57" t="s">
        <v>46</v>
      </c>
      <c r="D66" s="58"/>
      <c r="E66" s="59"/>
      <c r="F66" s="60">
        <v>0</v>
      </c>
    </row>
    <row r="67" spans="2:8" ht="24.95" customHeight="1">
      <c r="C67" s="610" t="s">
        <v>58</v>
      </c>
      <c r="D67" s="611"/>
      <c r="E67" s="611"/>
      <c r="F67" s="612"/>
    </row>
    <row r="68" spans="2:8" ht="24.95" customHeight="1">
      <c r="C68" s="57" t="s">
        <v>59</v>
      </c>
      <c r="D68" s="58"/>
      <c r="E68" s="59"/>
      <c r="F68" s="60">
        <v>2</v>
      </c>
    </row>
    <row r="69" spans="2:8" ht="24.95" customHeight="1">
      <c r="C69" s="57" t="s">
        <v>60</v>
      </c>
      <c r="D69" s="58"/>
      <c r="E69" s="59"/>
      <c r="F69" s="60">
        <v>0</v>
      </c>
    </row>
    <row r="70" spans="2:8" ht="24.95" customHeight="1">
      <c r="C70" s="613" t="s">
        <v>47</v>
      </c>
      <c r="D70" s="614"/>
      <c r="E70" s="615"/>
      <c r="F70" s="62" t="s">
        <v>48</v>
      </c>
    </row>
    <row r="71" spans="2:8" ht="24.95" customHeight="1">
      <c r="B71" s="6"/>
      <c r="C71" s="63"/>
      <c r="D71" s="63"/>
      <c r="E71" s="63" t="s">
        <v>15</v>
      </c>
      <c r="F71" s="64">
        <f>10+F49+F52+F55+F60+F65+F68</f>
        <v>24</v>
      </c>
      <c r="H71" s="6"/>
    </row>
    <row r="72" spans="2:8" ht="20.100000000000001" customHeight="1"/>
  </sheetData>
  <mergeCells count="69">
    <mergeCell ref="C8:D8"/>
    <mergeCell ref="A1:N1"/>
    <mergeCell ref="B3:C3"/>
    <mergeCell ref="D3:G3"/>
    <mergeCell ref="B4:C4"/>
    <mergeCell ref="D4:G4"/>
    <mergeCell ref="B5:C5"/>
    <mergeCell ref="D5:G5"/>
    <mergeCell ref="I6:N6"/>
    <mergeCell ref="B7:H7"/>
    <mergeCell ref="I7:J7"/>
    <mergeCell ref="K7:L7"/>
    <mergeCell ref="M7:N7"/>
    <mergeCell ref="A9:A14"/>
    <mergeCell ref="C9:D9"/>
    <mergeCell ref="C10:D10"/>
    <mergeCell ref="C11:D11"/>
    <mergeCell ref="C12:D12"/>
    <mergeCell ref="C13:D13"/>
    <mergeCell ref="C14:D14"/>
    <mergeCell ref="A17:A20"/>
    <mergeCell ref="B17:G17"/>
    <mergeCell ref="I17:J17"/>
    <mergeCell ref="M17:N17"/>
    <mergeCell ref="B18:H19"/>
    <mergeCell ref="A15:A16"/>
    <mergeCell ref="B15:G15"/>
    <mergeCell ref="B16:G16"/>
    <mergeCell ref="I16:J16"/>
    <mergeCell ref="M16:N16"/>
    <mergeCell ref="B26:H31"/>
    <mergeCell ref="I26:J26"/>
    <mergeCell ref="K26:L26"/>
    <mergeCell ref="M26:N26"/>
    <mergeCell ref="I18:J18"/>
    <mergeCell ref="M18:N18"/>
    <mergeCell ref="B20:H20"/>
    <mergeCell ref="B21:H21"/>
    <mergeCell ref="I21:J21"/>
    <mergeCell ref="K21:L21"/>
    <mergeCell ref="M21:N21"/>
    <mergeCell ref="B22:H23"/>
    <mergeCell ref="I22:J22"/>
    <mergeCell ref="K22:L22"/>
    <mergeCell ref="M22:N22"/>
    <mergeCell ref="B24:H25"/>
    <mergeCell ref="B41:H41"/>
    <mergeCell ref="B32:H33"/>
    <mergeCell ref="I32:J32"/>
    <mergeCell ref="K32:L32"/>
    <mergeCell ref="M32:N32"/>
    <mergeCell ref="B34:H35"/>
    <mergeCell ref="I34:J34"/>
    <mergeCell ref="K34:L34"/>
    <mergeCell ref="M34:N34"/>
    <mergeCell ref="B36:H37"/>
    <mergeCell ref="I36:J36"/>
    <mergeCell ref="K36:L36"/>
    <mergeCell ref="M36:N36"/>
    <mergeCell ref="B40:H40"/>
    <mergeCell ref="C64:E64"/>
    <mergeCell ref="C67:F67"/>
    <mergeCell ref="C70:E70"/>
    <mergeCell ref="B42:H42"/>
    <mergeCell ref="C47:E47"/>
    <mergeCell ref="C48:E48"/>
    <mergeCell ref="C51:E51"/>
    <mergeCell ref="C54:E54"/>
    <mergeCell ref="C59:E5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D819-AD95-4D17-9B02-9912FD4E865F}">
  <sheetPr>
    <tabColor theme="0" tint="-4.9989318521683403E-2"/>
  </sheetPr>
  <dimension ref="A1:Y69"/>
  <sheetViews>
    <sheetView topLeftCell="A3" zoomScale="60" zoomScaleNormal="60" workbookViewId="0">
      <pane ySplit="5" topLeftCell="A8" activePane="bottomLeft" state="frozen"/>
      <selection activeCell="R33" sqref="R33"/>
      <selection pane="bottomLeft" activeCell="I16" sqref="I16:J16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86.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4" width="25.625" style="5" customWidth="1"/>
    <col min="15" max="15" width="22.5" style="5" customWidth="1"/>
    <col min="16" max="16" width="25" style="5" customWidth="1"/>
    <col min="17" max="18" width="22.5" style="5" customWidth="1"/>
    <col min="19" max="19" width="48.625" style="5" customWidth="1"/>
    <col min="20" max="25" width="20.625" style="5" customWidth="1"/>
    <col min="26" max="26" width="11.5" style="5" customWidth="1"/>
    <col min="27" max="16384" width="11.5" style="5"/>
  </cols>
  <sheetData>
    <row r="1" spans="1:25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867"/>
      <c r="U1" s="1"/>
      <c r="V1" s="1"/>
      <c r="W1" s="2" t="s">
        <v>1</v>
      </c>
      <c r="X1" s="3">
        <v>0</v>
      </c>
      <c r="Y1" s="4">
        <f>X1+Y2</f>
        <v>1</v>
      </c>
    </row>
    <row r="2" spans="1:25" ht="20.25" customHeight="1" thickBot="1">
      <c r="Y2" s="20">
        <v>1</v>
      </c>
    </row>
    <row r="3" spans="1:25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1" t="s">
        <v>5</v>
      </c>
      <c r="L3" s="23">
        <v>1</v>
      </c>
      <c r="M3" s="24"/>
      <c r="N3" s="24"/>
      <c r="O3" s="24"/>
      <c r="P3" s="24"/>
      <c r="Q3" s="24"/>
      <c r="R3" s="24"/>
      <c r="S3" s="24"/>
    </row>
    <row r="4" spans="1:25" ht="63" customHeight="1">
      <c r="A4" s="25"/>
      <c r="B4" s="690" t="s">
        <v>6</v>
      </c>
      <c r="C4" s="690"/>
      <c r="D4" s="691" t="s">
        <v>74</v>
      </c>
      <c r="E4" s="691"/>
      <c r="F4" s="691"/>
      <c r="G4" s="691"/>
      <c r="H4" s="22"/>
      <c r="I4" s="26"/>
      <c r="J4" s="81"/>
      <c r="K4" s="22"/>
      <c r="L4" s="22"/>
      <c r="M4" s="82"/>
      <c r="N4" s="22"/>
      <c r="O4" s="22"/>
      <c r="P4" s="22"/>
      <c r="Q4" s="22"/>
      <c r="R4" s="22"/>
      <c r="S4" s="22"/>
    </row>
    <row r="5" spans="1:25" ht="18" customHeight="1" thickBo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25" ht="18" customHeight="1" thickBot="1">
      <c r="A6" s="6"/>
      <c r="B6" s="6"/>
      <c r="C6" s="6"/>
      <c r="D6" s="6"/>
      <c r="E6" s="6"/>
      <c r="F6" s="6"/>
      <c r="G6" s="6"/>
      <c r="H6" s="6"/>
      <c r="I6" s="868"/>
      <c r="J6" s="870"/>
      <c r="K6" s="870"/>
      <c r="L6" s="870"/>
      <c r="M6" s="870"/>
      <c r="N6" s="870"/>
      <c r="O6" s="870"/>
      <c r="P6" s="870"/>
      <c r="Q6" s="870"/>
      <c r="R6" s="870"/>
      <c r="S6" s="870"/>
      <c r="T6" s="870"/>
      <c r="U6" s="870"/>
      <c r="V6" s="870"/>
      <c r="W6" s="870"/>
      <c r="X6" s="870"/>
      <c r="Y6" s="869"/>
    </row>
    <row r="7" spans="1:25" ht="62.25" customHeight="1" thickBot="1">
      <c r="B7" s="695" t="s">
        <v>8</v>
      </c>
      <c r="C7" s="696"/>
      <c r="D7" s="696"/>
      <c r="E7" s="696"/>
      <c r="F7" s="696"/>
      <c r="G7" s="696"/>
      <c r="H7" s="735"/>
      <c r="I7" s="871" t="s">
        <v>64</v>
      </c>
      <c r="J7" s="872"/>
      <c r="K7" s="875" t="s">
        <v>65</v>
      </c>
      <c r="L7" s="876"/>
      <c r="M7" s="871" t="s">
        <v>52</v>
      </c>
      <c r="N7" s="872"/>
      <c r="O7" s="871" t="s">
        <v>66</v>
      </c>
      <c r="P7" s="872"/>
      <c r="Q7" s="27"/>
      <c r="R7" s="27"/>
      <c r="S7" s="27"/>
      <c r="T7" s="870" t="s">
        <v>9</v>
      </c>
      <c r="U7" s="870"/>
      <c r="V7" s="870"/>
      <c r="W7" s="870"/>
      <c r="X7" s="870"/>
      <c r="Y7" s="869"/>
    </row>
    <row r="8" spans="1:25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9" t="s">
        <v>15</v>
      </c>
      <c r="I8" s="18" t="s">
        <v>14</v>
      </c>
      <c r="J8" s="19" t="s">
        <v>15</v>
      </c>
      <c r="K8" s="18" t="s">
        <v>14</v>
      </c>
      <c r="L8" s="19" t="s">
        <v>15</v>
      </c>
      <c r="M8" s="18" t="s">
        <v>14</v>
      </c>
      <c r="N8" s="19" t="s">
        <v>15</v>
      </c>
      <c r="O8" s="18" t="s">
        <v>14</v>
      </c>
      <c r="P8" s="19" t="s">
        <v>15</v>
      </c>
      <c r="Q8" s="27" t="s">
        <v>10</v>
      </c>
      <c r="R8" s="871" t="s">
        <v>11</v>
      </c>
      <c r="S8" s="872"/>
      <c r="T8" s="871"/>
      <c r="U8" s="873"/>
      <c r="V8" s="871"/>
      <c r="W8" s="872"/>
      <c r="X8" s="874"/>
      <c r="Y8" s="872"/>
    </row>
    <row r="9" spans="1:25" ht="45.75" customHeight="1">
      <c r="A9" s="679"/>
      <c r="B9" s="83">
        <v>1</v>
      </c>
      <c r="C9" s="893" t="s">
        <v>67</v>
      </c>
      <c r="D9" s="894"/>
      <c r="E9" s="150" t="s">
        <v>50</v>
      </c>
      <c r="F9" s="84">
        <f>2*6</f>
        <v>12</v>
      </c>
      <c r="G9" s="151">
        <f>4130*1.18</f>
        <v>4873.3999999999996</v>
      </c>
      <c r="H9" s="86">
        <f t="shared" ref="H9:H14" si="0">F9*G9</f>
        <v>58480.799999999996</v>
      </c>
      <c r="I9" s="90">
        <f>((45.82*1.18)*61)</f>
        <v>3298.1235999999999</v>
      </c>
      <c r="J9" s="152">
        <f>F9*I9</f>
        <v>39577.483200000002</v>
      </c>
      <c r="K9" s="153">
        <f>(10.3+12.9+10.99+6.7+13.5+9.6)*61</f>
        <v>3903.3900000000003</v>
      </c>
      <c r="L9" s="154">
        <f>F9*K9</f>
        <v>46840.680000000008</v>
      </c>
      <c r="M9" s="157">
        <f>33*61*1.38</f>
        <v>2777.9399999999996</v>
      </c>
      <c r="N9" s="16">
        <f t="shared" ref="N9:N14" si="1">M9*F9</f>
        <v>33335.279999999999</v>
      </c>
      <c r="O9" s="17">
        <f>60.93*1.38*61</f>
        <v>5129.0873999999994</v>
      </c>
      <c r="P9" s="16">
        <f t="shared" ref="P9:P14" si="2">O9*F9</f>
        <v>61549.04879999999</v>
      </c>
      <c r="Q9" s="30"/>
      <c r="R9" s="33"/>
      <c r="S9" s="34"/>
      <c r="T9" s="31"/>
      <c r="U9" s="32"/>
      <c r="V9" s="35"/>
      <c r="W9" s="36"/>
      <c r="X9" s="35"/>
      <c r="Y9" s="36"/>
    </row>
    <row r="10" spans="1:25" ht="48" customHeight="1">
      <c r="A10" s="679"/>
      <c r="B10" s="83">
        <v>2</v>
      </c>
      <c r="C10" s="750" t="s">
        <v>68</v>
      </c>
      <c r="D10" s="765"/>
      <c r="E10" s="84" t="s">
        <v>50</v>
      </c>
      <c r="F10" s="84">
        <f>2*6</f>
        <v>12</v>
      </c>
      <c r="G10" s="151">
        <f>7000*1.18</f>
        <v>8260</v>
      </c>
      <c r="H10" s="85">
        <f t="shared" si="0"/>
        <v>99120</v>
      </c>
      <c r="I10" s="90">
        <f>((72*1.18)*61)</f>
        <v>5182.5599999999995</v>
      </c>
      <c r="J10" s="152">
        <f t="shared" ref="J10:J14" si="3">F10*I10</f>
        <v>62190.719999999994</v>
      </c>
      <c r="K10" s="90">
        <f>110*61</f>
        <v>6710</v>
      </c>
      <c r="L10" s="155">
        <f t="shared" ref="L10:L14" si="4">F10*K10</f>
        <v>80520</v>
      </c>
      <c r="M10" s="157">
        <f>(91.5*1.38)*61</f>
        <v>7702.4699999999993</v>
      </c>
      <c r="N10" s="16">
        <f t="shared" si="1"/>
        <v>92429.639999999985</v>
      </c>
      <c r="O10" s="17">
        <f>72.76*61*1.38</f>
        <v>6124.9368000000004</v>
      </c>
      <c r="P10" s="16">
        <f t="shared" si="2"/>
        <v>73499.241600000008</v>
      </c>
      <c r="Q10" s="30"/>
      <c r="R10" s="33"/>
      <c r="S10" s="34"/>
      <c r="T10" s="31"/>
      <c r="U10" s="32"/>
      <c r="V10" s="35"/>
      <c r="W10" s="36"/>
      <c r="X10" s="35"/>
      <c r="Y10" s="36"/>
    </row>
    <row r="11" spans="1:25" ht="48" customHeight="1">
      <c r="A11" s="679"/>
      <c r="B11" s="83">
        <v>3</v>
      </c>
      <c r="C11" s="750" t="s">
        <v>69</v>
      </c>
      <c r="D11" s="765"/>
      <c r="E11" s="84" t="s">
        <v>50</v>
      </c>
      <c r="F11" s="84">
        <v>12</v>
      </c>
      <c r="G11" s="151">
        <f>5310*1.18</f>
        <v>6265.7999999999993</v>
      </c>
      <c r="H11" s="85">
        <f t="shared" si="0"/>
        <v>75189.599999999991</v>
      </c>
      <c r="I11" s="90">
        <f>((162.68*1.18)*61)</f>
        <v>11709.706400000001</v>
      </c>
      <c r="J11" s="152">
        <f t="shared" si="3"/>
        <v>140516.4768</v>
      </c>
      <c r="K11" s="90">
        <f>148.25*61</f>
        <v>9043.25</v>
      </c>
      <c r="L11" s="155">
        <f t="shared" si="4"/>
        <v>108519</v>
      </c>
      <c r="M11" s="157">
        <f>70.5*1.38*61</f>
        <v>5934.69</v>
      </c>
      <c r="N11" s="16">
        <f t="shared" si="1"/>
        <v>71216.28</v>
      </c>
      <c r="O11" s="17">
        <f>141.32*61*1.38</f>
        <v>11896.3176</v>
      </c>
      <c r="P11" s="16">
        <f t="shared" si="2"/>
        <v>142755.8112</v>
      </c>
      <c r="Q11" s="30"/>
      <c r="R11" s="33"/>
      <c r="S11" s="34"/>
      <c r="T11" s="31"/>
      <c r="U11" s="32"/>
      <c r="V11" s="35"/>
      <c r="W11" s="36"/>
      <c r="X11" s="35"/>
      <c r="Y11" s="36"/>
    </row>
    <row r="12" spans="1:25" ht="48" customHeight="1">
      <c r="A12" s="679"/>
      <c r="B12" s="83">
        <v>4</v>
      </c>
      <c r="C12" s="750" t="s">
        <v>70</v>
      </c>
      <c r="D12" s="765"/>
      <c r="E12" s="84" t="s">
        <v>50</v>
      </c>
      <c r="F12" s="84">
        <v>6</v>
      </c>
      <c r="G12" s="151">
        <f>5500*1.18</f>
        <v>6490</v>
      </c>
      <c r="H12" s="85">
        <f t="shared" si="0"/>
        <v>38940</v>
      </c>
      <c r="I12" s="90">
        <f>156.64*61*1.18</f>
        <v>11274.947199999999</v>
      </c>
      <c r="J12" s="152">
        <f t="shared" si="3"/>
        <v>67649.683199999999</v>
      </c>
      <c r="K12" s="90">
        <f>53.9*61</f>
        <v>3287.9</v>
      </c>
      <c r="L12" s="155">
        <f t="shared" si="4"/>
        <v>19727.400000000001</v>
      </c>
      <c r="M12" s="157">
        <f>42*1.38*61</f>
        <v>3535.5599999999995</v>
      </c>
      <c r="N12" s="16">
        <f t="shared" si="1"/>
        <v>21213.359999999997</v>
      </c>
      <c r="O12" s="17">
        <f>29.02*61*1.38</f>
        <v>2442.9035999999996</v>
      </c>
      <c r="P12" s="16">
        <f t="shared" si="2"/>
        <v>14657.421599999998</v>
      </c>
      <c r="R12" s="33"/>
      <c r="S12" s="34"/>
      <c r="T12" s="31"/>
      <c r="U12" s="32"/>
      <c r="V12" s="35"/>
      <c r="W12" s="36"/>
      <c r="X12" s="35"/>
      <c r="Y12" s="36"/>
    </row>
    <row r="13" spans="1:25" ht="48" customHeight="1">
      <c r="A13" s="679"/>
      <c r="B13" s="83">
        <v>5</v>
      </c>
      <c r="C13" s="750" t="s">
        <v>71</v>
      </c>
      <c r="D13" s="765"/>
      <c r="E13" s="84" t="s">
        <v>50</v>
      </c>
      <c r="F13" s="84">
        <v>6</v>
      </c>
      <c r="G13" s="151">
        <f>5500*1.18</f>
        <v>6490</v>
      </c>
      <c r="H13" s="85">
        <f t="shared" si="0"/>
        <v>38940</v>
      </c>
      <c r="I13" s="90">
        <f>(142.6*61)*1.18</f>
        <v>10264.348</v>
      </c>
      <c r="J13" s="152">
        <f t="shared" si="3"/>
        <v>61586.088000000003</v>
      </c>
      <c r="K13" s="90">
        <f>53.9*61</f>
        <v>3287.9</v>
      </c>
      <c r="L13" s="155">
        <f t="shared" si="4"/>
        <v>19727.400000000001</v>
      </c>
      <c r="M13" s="157">
        <f>42*1.38*61</f>
        <v>3535.5599999999995</v>
      </c>
      <c r="N13" s="16">
        <f t="shared" si="1"/>
        <v>21213.359999999997</v>
      </c>
      <c r="O13" s="17">
        <f>29.02*61*1.38</f>
        <v>2442.9035999999996</v>
      </c>
      <c r="P13" s="16">
        <f t="shared" si="2"/>
        <v>14657.421599999998</v>
      </c>
      <c r="Q13" s="30"/>
      <c r="R13" s="33"/>
      <c r="S13" s="34"/>
      <c r="T13" s="31"/>
      <c r="U13" s="32"/>
      <c r="V13" s="35"/>
      <c r="W13" s="36"/>
      <c r="X13" s="35"/>
      <c r="Y13" s="36"/>
    </row>
    <row r="14" spans="1:25" ht="48" customHeight="1" thickBot="1">
      <c r="A14" s="679"/>
      <c r="B14" s="83">
        <v>6</v>
      </c>
      <c r="C14" s="750" t="s">
        <v>72</v>
      </c>
      <c r="D14" s="765"/>
      <c r="E14" s="84" t="s">
        <v>50</v>
      </c>
      <c r="F14" s="84">
        <v>12</v>
      </c>
      <c r="G14" s="156">
        <f>5310*1.18</f>
        <v>6265.7999999999993</v>
      </c>
      <c r="H14" s="85">
        <f t="shared" si="0"/>
        <v>75189.599999999991</v>
      </c>
      <c r="I14" s="90">
        <f>(72.98*61)*1.18</f>
        <v>5253.1004000000003</v>
      </c>
      <c r="J14" s="152">
        <f t="shared" si="3"/>
        <v>63037.204800000007</v>
      </c>
      <c r="K14" s="90">
        <f>69.95*61</f>
        <v>4266.95</v>
      </c>
      <c r="L14" s="155">
        <f t="shared" si="4"/>
        <v>51203.399999999994</v>
      </c>
      <c r="M14" s="157">
        <f>72*1.38*61</f>
        <v>6060.9599999999991</v>
      </c>
      <c r="N14" s="16">
        <f t="shared" si="1"/>
        <v>72731.51999999999</v>
      </c>
      <c r="O14" s="17">
        <f>29.55*1.38*61</f>
        <v>2487.5189999999998</v>
      </c>
      <c r="P14" s="16">
        <f t="shared" si="2"/>
        <v>29850.227999999996</v>
      </c>
      <c r="Q14" s="30"/>
      <c r="R14" s="33"/>
      <c r="S14" s="34"/>
      <c r="T14" s="31"/>
      <c r="U14" s="32"/>
      <c r="V14" s="35"/>
      <c r="W14" s="36"/>
      <c r="X14" s="35"/>
      <c r="Y14" s="36"/>
    </row>
    <row r="15" spans="1:25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97">
        <f>SUM(H9:H14)</f>
        <v>385859.99999999994</v>
      </c>
      <c r="I15" s="87"/>
      <c r="J15" s="88">
        <f>SUM(J9:J14)</f>
        <v>434557.65600000002</v>
      </c>
      <c r="K15" s="94"/>
      <c r="L15" s="93">
        <f>SUM(L9:L14)</f>
        <v>326537.88</v>
      </c>
      <c r="M15" s="95"/>
      <c r="N15" s="96">
        <f>SUM(N9:N14)</f>
        <v>312139.43999999994</v>
      </c>
      <c r="O15" s="92"/>
      <c r="P15" s="93">
        <f>SUM(P9:P14)</f>
        <v>336969.1728</v>
      </c>
      <c r="Q15" s="9"/>
      <c r="R15" s="9"/>
      <c r="S15" s="9"/>
      <c r="T15" s="38"/>
      <c r="U15" s="7"/>
      <c r="V15" s="7"/>
      <c r="W15" s="7"/>
      <c r="X15" s="7"/>
      <c r="Y15" s="39"/>
    </row>
    <row r="16" spans="1:25" ht="25.5" customHeight="1">
      <c r="A16" s="665"/>
      <c r="B16" s="669" t="s">
        <v>49</v>
      </c>
      <c r="C16" s="670"/>
      <c r="D16" s="670"/>
      <c r="E16" s="670"/>
      <c r="F16" s="670"/>
      <c r="G16" s="670"/>
      <c r="H16" s="37"/>
      <c r="I16" s="673">
        <f>I15*0.18</f>
        <v>0</v>
      </c>
      <c r="J16" s="887"/>
      <c r="K16" s="673">
        <f>0.18*K15</f>
        <v>0</v>
      </c>
      <c r="L16" s="672"/>
      <c r="M16" s="77"/>
      <c r="N16" s="89"/>
      <c r="O16" s="671"/>
      <c r="P16" s="672"/>
      <c r="Q16" s="8"/>
      <c r="R16" s="8"/>
      <c r="S16" s="8"/>
      <c r="T16" s="38"/>
      <c r="U16" s="7"/>
      <c r="V16" s="7"/>
      <c r="W16" s="7"/>
      <c r="X16" s="7"/>
      <c r="Y16" s="39"/>
    </row>
    <row r="17" spans="1:25" ht="22.5" customHeight="1" thickBo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40">
        <f>H15+H16</f>
        <v>385859.99999999994</v>
      </c>
      <c r="I17" s="732">
        <f>J15</f>
        <v>434557.65600000002</v>
      </c>
      <c r="J17" s="676"/>
      <c r="K17" s="677">
        <f>L15</f>
        <v>326537.88</v>
      </c>
      <c r="L17" s="678"/>
      <c r="M17" s="78"/>
      <c r="N17" s="78">
        <f>N15+N16</f>
        <v>312139.43999999994</v>
      </c>
      <c r="O17" s="741">
        <f>P15</f>
        <v>336969.1728</v>
      </c>
      <c r="P17" s="742"/>
      <c r="Q17" s="9"/>
      <c r="R17" s="9"/>
      <c r="S17" s="9"/>
      <c r="T17" s="41"/>
      <c r="U17" s="42"/>
      <c r="V17" s="42"/>
      <c r="W17" s="42"/>
      <c r="X17" s="42"/>
      <c r="Y17" s="43"/>
    </row>
    <row r="18" spans="1:25" ht="27" customHeight="1">
      <c r="A18" s="665"/>
      <c r="B18" s="647" t="s">
        <v>20</v>
      </c>
      <c r="C18" s="648"/>
      <c r="D18" s="648"/>
      <c r="E18" s="648"/>
      <c r="F18" s="648"/>
      <c r="G18" s="648"/>
      <c r="H18" s="733"/>
      <c r="I18" s="646"/>
      <c r="J18" s="645"/>
      <c r="K18" s="646"/>
      <c r="L18" s="645"/>
      <c r="M18" s="634"/>
      <c r="N18" s="635"/>
      <c r="O18" s="743"/>
      <c r="P18" s="744"/>
      <c r="Q18" s="74"/>
      <c r="R18" s="12"/>
      <c r="S18" s="12"/>
    </row>
    <row r="19" spans="1:25" ht="23.25" customHeight="1">
      <c r="A19" s="665"/>
      <c r="B19" s="647"/>
      <c r="C19" s="648"/>
      <c r="D19" s="648"/>
      <c r="E19" s="648"/>
      <c r="F19" s="648"/>
      <c r="G19" s="648"/>
      <c r="H19" s="733"/>
      <c r="I19" s="49" t="s">
        <v>21</v>
      </c>
      <c r="J19" s="148">
        <v>4</v>
      </c>
      <c r="K19" s="149" t="s">
        <v>21</v>
      </c>
      <c r="L19" s="148">
        <v>2</v>
      </c>
      <c r="M19" s="149" t="s">
        <v>21</v>
      </c>
      <c r="N19" s="148">
        <v>1</v>
      </c>
      <c r="O19" s="147" t="s">
        <v>21</v>
      </c>
      <c r="P19" s="148">
        <v>3</v>
      </c>
      <c r="Q19" s="74"/>
      <c r="S19" s="10"/>
    </row>
    <row r="20" spans="1:25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733"/>
      <c r="I20" s="102" t="s">
        <v>23</v>
      </c>
      <c r="J20" s="103">
        <f>IF(OR($H$17=0,I17=0),"-",I17-$H$17)</f>
        <v>48697.656000000075</v>
      </c>
      <c r="K20" s="102" t="s">
        <v>23</v>
      </c>
      <c r="L20" s="103">
        <f>IF(OR($H$17=0,K17=0),"-",K17-$H$17)</f>
        <v>-59322.119999999937</v>
      </c>
      <c r="M20" s="102" t="s">
        <v>23</v>
      </c>
      <c r="N20" s="103">
        <f>IF(OR($H$17=0,N17=0),"-",N17-$H$17)</f>
        <v>-73720.56</v>
      </c>
      <c r="O20" s="102" t="s">
        <v>23</v>
      </c>
      <c r="P20" s="103">
        <f>O17-H17</f>
        <v>-48890.827199999942</v>
      </c>
      <c r="Q20" s="75"/>
      <c r="R20" s="75"/>
      <c r="S20" s="44"/>
    </row>
    <row r="21" spans="1:25" ht="24.95" customHeight="1">
      <c r="A21" s="7"/>
      <c r="B21" s="650" t="s">
        <v>51</v>
      </c>
      <c r="C21" s="651"/>
      <c r="D21" s="651"/>
      <c r="E21" s="651"/>
      <c r="F21" s="651"/>
      <c r="G21" s="651"/>
      <c r="H21" s="727"/>
      <c r="I21" s="738">
        <f>J20*77</f>
        <v>3749719.5120000057</v>
      </c>
      <c r="J21" s="654"/>
      <c r="K21" s="739">
        <f>L20*77</f>
        <v>-4567803.2399999956</v>
      </c>
      <c r="L21" s="740"/>
      <c r="M21" s="657">
        <f>N20*77</f>
        <v>-5676483.1200000001</v>
      </c>
      <c r="N21" s="658"/>
      <c r="O21" s="657">
        <f>P20*77</f>
        <v>-3764593.6943999957</v>
      </c>
      <c r="P21" s="658"/>
      <c r="Q21" s="76"/>
      <c r="R21" s="76"/>
      <c r="S21" s="10"/>
    </row>
    <row r="22" spans="1:25" ht="24.95" customHeight="1">
      <c r="A22" s="7"/>
      <c r="B22" s="621" t="s">
        <v>20</v>
      </c>
      <c r="C22" s="622"/>
      <c r="D22" s="622"/>
      <c r="E22" s="622"/>
      <c r="F22" s="622"/>
      <c r="G22" s="622"/>
      <c r="H22" s="713"/>
      <c r="I22" s="663" t="str">
        <f>IF(OR($H$17=0,I17=0),"",IF(I17&lt;=$H$17,$C$46,$C$47))</f>
        <v>Precio mayor al presupuesto</v>
      </c>
      <c r="J22" s="660"/>
      <c r="K22" s="663" t="str">
        <f>IF(OR($H$17=0,K17=0),"",IF(K17&lt;=$H$17,$C$46,$C$47))</f>
        <v>Precio menor o igual al presupuesto</v>
      </c>
      <c r="L22" s="660"/>
      <c r="M22" s="663" t="str">
        <f>IF(OR($H$17=0,N17=0),"",IF(N17&lt;=$H$17,$C$46,$C$47))</f>
        <v>Precio menor o igual al presupuesto</v>
      </c>
      <c r="N22" s="660"/>
      <c r="O22" s="663" t="str">
        <f t="shared" ref="O22" si="5">IF(OR($H$17=0,O17=0),"",IF(O17&lt;=$H$17,$C$46,$C$47))</f>
        <v>Precio menor o igual al presupuesto</v>
      </c>
      <c r="P22" s="660"/>
      <c r="Q22" s="76"/>
      <c r="R22" s="76"/>
      <c r="S22" s="10"/>
    </row>
    <row r="23" spans="1:25" ht="24.95" customHeight="1">
      <c r="A23" s="7"/>
      <c r="B23" s="621"/>
      <c r="C23" s="622"/>
      <c r="D23" s="622"/>
      <c r="E23" s="622"/>
      <c r="F23" s="622"/>
      <c r="G23" s="622"/>
      <c r="H23" s="713"/>
      <c r="I23" s="108" t="s">
        <v>21</v>
      </c>
      <c r="J23" s="109">
        <f>IF(I22=$C$46,$F$46,0)</f>
        <v>0</v>
      </c>
      <c r="K23" s="108" t="s">
        <v>21</v>
      </c>
      <c r="L23" s="109">
        <f>IF(K22=$C$46,$F$46,0)</f>
        <v>2</v>
      </c>
      <c r="M23" s="108" t="s">
        <v>21</v>
      </c>
      <c r="N23" s="109">
        <f>IF(M22=$C$46,$F$46,0)</f>
        <v>2</v>
      </c>
      <c r="O23" s="108" t="s">
        <v>21</v>
      </c>
      <c r="P23" s="109">
        <f>IF(O22=$C$46,$F$46,0)</f>
        <v>2</v>
      </c>
      <c r="Q23" s="76"/>
      <c r="R23" s="76"/>
      <c r="S23" s="10"/>
    </row>
    <row r="24" spans="1:25" ht="24.95" customHeight="1">
      <c r="A24" s="7"/>
      <c r="B24" s="621" t="s">
        <v>22</v>
      </c>
      <c r="C24" s="622"/>
      <c r="D24" s="622"/>
      <c r="E24" s="622"/>
      <c r="F24" s="622"/>
      <c r="G24" s="622"/>
      <c r="H24" s="713"/>
      <c r="I24" s="108" t="s">
        <v>23</v>
      </c>
      <c r="J24" s="101">
        <f>IF(OR($H$17=0,I17=0),"-",I17-$H$17)</f>
        <v>48697.656000000075</v>
      </c>
      <c r="K24" s="108" t="s">
        <v>23</v>
      </c>
      <c r="L24" s="101">
        <f>IF(OR($H$17=0,K17=0),"-",K17-$H$17)</f>
        <v>-59322.119999999937</v>
      </c>
      <c r="M24" s="108" t="s">
        <v>23</v>
      </c>
      <c r="N24" s="101">
        <f>IF(OR($H$17=0,N17=0),"-",N17-$H$17)</f>
        <v>-73720.56</v>
      </c>
      <c r="O24" s="108" t="s">
        <v>23</v>
      </c>
      <c r="P24" s="101">
        <f>IF(OR($H$17=0,O17=0),"-",O17-$H$17)</f>
        <v>-48890.827199999942</v>
      </c>
      <c r="Q24" s="76"/>
      <c r="R24" s="76"/>
      <c r="S24" s="10"/>
    </row>
    <row r="25" spans="1:25" ht="34.5" customHeight="1">
      <c r="A25" s="7"/>
      <c r="B25" s="621"/>
      <c r="C25" s="622"/>
      <c r="D25" s="622"/>
      <c r="E25" s="622"/>
      <c r="F25" s="622"/>
      <c r="G25" s="622"/>
      <c r="H25" s="713"/>
      <c r="I25" s="111" t="s">
        <v>21</v>
      </c>
      <c r="J25" s="50">
        <f>IF(AND(J24&lt;L24,J24&lt;N24,J24&lt;P24),2,0)</f>
        <v>0</v>
      </c>
      <c r="K25" s="110" t="s">
        <v>21</v>
      </c>
      <c r="L25" s="50">
        <f>IF(AND(L24&lt;N24,L24&lt;P24,,L24&lt;J24),2,0)</f>
        <v>0</v>
      </c>
      <c r="M25" s="105" t="s">
        <v>21</v>
      </c>
      <c r="N25" s="50">
        <f>IF(AND(N24&lt;P24,N24&lt;L24,N24&lt;J24),2,0)</f>
        <v>2</v>
      </c>
      <c r="O25" s="105" t="s">
        <v>21</v>
      </c>
      <c r="P25" s="50">
        <f>IF(AND(P24&lt;J24,P24&lt;N24,P24&lt;L24),2,0)</f>
        <v>0</v>
      </c>
      <c r="Q25" s="76"/>
      <c r="R25" s="76"/>
      <c r="S25" s="11"/>
    </row>
    <row r="26" spans="1:25" ht="34.5" customHeight="1">
      <c r="A26" s="7"/>
      <c r="B26" s="628" t="s">
        <v>53</v>
      </c>
      <c r="C26" s="629"/>
      <c r="D26" s="629"/>
      <c r="E26" s="629"/>
      <c r="F26" s="629"/>
      <c r="G26" s="629"/>
      <c r="H26" s="710"/>
      <c r="I26" s="642" t="str">
        <f>C53</f>
        <v>Por valuación de obra ejecutada con anticipo</v>
      </c>
      <c r="J26" s="643"/>
      <c r="K26" s="642" t="str">
        <f>C53</f>
        <v>Por valuación de obra ejecutada con anticipo</v>
      </c>
      <c r="L26" s="643"/>
      <c r="M26" s="642" t="str">
        <f>C53</f>
        <v>Por valuación de obra ejecutada con anticipo</v>
      </c>
      <c r="N26" s="643"/>
      <c r="O26" s="642" t="str">
        <f>C53</f>
        <v>Por valuación de obra ejecutada con anticipo</v>
      </c>
      <c r="P26" s="643"/>
      <c r="Q26" s="76"/>
      <c r="R26" s="76"/>
      <c r="S26" s="11"/>
    </row>
    <row r="27" spans="1:25" ht="24.95" customHeight="1">
      <c r="B27" s="638"/>
      <c r="C27" s="639"/>
      <c r="D27" s="639"/>
      <c r="E27" s="639"/>
      <c r="F27" s="639"/>
      <c r="G27" s="639"/>
      <c r="H27" s="711"/>
      <c r="I27" s="113" t="s">
        <v>21</v>
      </c>
      <c r="J27" s="114">
        <v>2</v>
      </c>
      <c r="K27" s="113" t="s">
        <v>21</v>
      </c>
      <c r="L27" s="114">
        <v>2</v>
      </c>
      <c r="M27" s="113" t="s">
        <v>21</v>
      </c>
      <c r="N27" s="114">
        <v>2</v>
      </c>
      <c r="O27" s="113" t="s">
        <v>21</v>
      </c>
      <c r="P27" s="114">
        <v>2</v>
      </c>
      <c r="Q27" s="10"/>
      <c r="R27" s="10"/>
      <c r="S27" s="10"/>
    </row>
    <row r="28" spans="1:25" ht="24.95" customHeight="1">
      <c r="B28" s="640"/>
      <c r="C28" s="641"/>
      <c r="D28" s="641"/>
      <c r="E28" s="641"/>
      <c r="F28" s="641"/>
      <c r="G28" s="641"/>
      <c r="H28" s="712"/>
      <c r="I28" s="113"/>
      <c r="J28" s="114"/>
      <c r="K28" s="113"/>
      <c r="L28" s="114"/>
      <c r="M28" s="113"/>
      <c r="N28" s="114"/>
      <c r="O28" s="113"/>
      <c r="P28" s="114"/>
      <c r="Q28" s="10"/>
      <c r="R28" s="10"/>
      <c r="S28" s="10"/>
    </row>
    <row r="29" spans="1:25" ht="24.95" customHeight="1">
      <c r="B29" s="621" t="s">
        <v>54</v>
      </c>
      <c r="C29" s="622"/>
      <c r="D29" s="622"/>
      <c r="E29" s="622"/>
      <c r="F29" s="622"/>
      <c r="G29" s="622"/>
      <c r="H29" s="713"/>
      <c r="I29" s="624" t="str">
        <f>C60</f>
        <v>A los 60 días</v>
      </c>
      <c r="J29" s="625"/>
      <c r="K29" s="624" t="str">
        <f>C60</f>
        <v>A los 60 días</v>
      </c>
      <c r="L29" s="625"/>
      <c r="M29" s="624" t="str">
        <f>C60</f>
        <v>A los 60 días</v>
      </c>
      <c r="N29" s="625"/>
      <c r="O29" s="624" t="str">
        <f>C60</f>
        <v>A los 60 días</v>
      </c>
      <c r="P29" s="625"/>
      <c r="Q29" s="10"/>
      <c r="R29" s="10"/>
      <c r="S29" s="10"/>
    </row>
    <row r="30" spans="1:25" ht="47.25" customHeight="1">
      <c r="B30" s="621"/>
      <c r="C30" s="622"/>
      <c r="D30" s="622"/>
      <c r="E30" s="622"/>
      <c r="F30" s="622"/>
      <c r="G30" s="622"/>
      <c r="H30" s="713"/>
      <c r="I30" s="106" t="s">
        <v>21</v>
      </c>
      <c r="J30" s="112">
        <f>IF(I29=$C$57,$F$57,IF(I29=$C$58,$F$58,IF(I29=$C$59,$F$59,IF(I29=$C$60,F60,0))))</f>
        <v>0</v>
      </c>
      <c r="K30" s="115" t="s">
        <v>21</v>
      </c>
      <c r="L30" s="116">
        <f t="shared" ref="L30" si="6">IF(K29=$C$57,$F$57,IF(K29=$C$58,$F$58,IF(K29=$C$59,$F$59,0)))</f>
        <v>0</v>
      </c>
      <c r="M30" s="115" t="s">
        <v>21</v>
      </c>
      <c r="N30" s="116">
        <f t="shared" ref="N30" si="7">IF(M29=$C$57,$F$57,IF(M29=$C$58,$F$58,IF(M29=$C$59,$F$59,0)))</f>
        <v>0</v>
      </c>
      <c r="O30" s="115" t="s">
        <v>21</v>
      </c>
      <c r="P30" s="117">
        <f t="shared" ref="P30" si="8">IF(O29=$C$57,$F$57,IF(O29=$C$58,$F$58,IF(O29=$C$59,$F$59,0)))</f>
        <v>0</v>
      </c>
      <c r="Q30" s="11"/>
      <c r="R30" s="11"/>
      <c r="S30" s="11"/>
    </row>
    <row r="31" spans="1:25" ht="33.75" customHeight="1">
      <c r="B31" s="621" t="s">
        <v>56</v>
      </c>
      <c r="C31" s="622"/>
      <c r="D31" s="622"/>
      <c r="E31" s="622"/>
      <c r="F31" s="622"/>
      <c r="G31" s="622"/>
      <c r="H31" s="713"/>
      <c r="I31" s="626" t="s">
        <v>45</v>
      </c>
      <c r="J31" s="627"/>
      <c r="K31" s="626" t="s">
        <v>45</v>
      </c>
      <c r="L31" s="627"/>
      <c r="M31" s="626" t="s">
        <v>45</v>
      </c>
      <c r="N31" s="627"/>
      <c r="O31" s="626" t="s">
        <v>45</v>
      </c>
      <c r="P31" s="627"/>
      <c r="Q31" s="11"/>
      <c r="R31" s="11"/>
      <c r="S31" s="11"/>
    </row>
    <row r="32" spans="1:25" ht="30" customHeight="1">
      <c r="B32" s="621"/>
      <c r="C32" s="622"/>
      <c r="D32" s="622"/>
      <c r="E32" s="622"/>
      <c r="F32" s="622"/>
      <c r="G32" s="622"/>
      <c r="H32" s="713"/>
      <c r="I32" s="51" t="s">
        <v>21</v>
      </c>
      <c r="J32" s="118">
        <f>IF(I31=$C$62,$F$62,0)</f>
        <v>2</v>
      </c>
      <c r="K32" s="51" t="s">
        <v>21</v>
      </c>
      <c r="L32" s="118">
        <f t="shared" ref="L32" si="9">IF(K31=$C$62,$F$62,0)</f>
        <v>2</v>
      </c>
      <c r="M32" s="51" t="s">
        <v>21</v>
      </c>
      <c r="N32" s="118">
        <f t="shared" ref="N32" si="10">IF(M31=$C$62,$F$62,0)</f>
        <v>2</v>
      </c>
      <c r="O32" s="51" t="s">
        <v>21</v>
      </c>
      <c r="P32" s="118">
        <f t="shared" ref="P32" si="11">IF(O31=$C$62,$F$62,0)</f>
        <v>2</v>
      </c>
      <c r="Q32" s="12"/>
      <c r="R32" s="12"/>
      <c r="S32" s="12"/>
    </row>
    <row r="33" spans="2:19" ht="30" customHeight="1">
      <c r="B33" s="628" t="s">
        <v>57</v>
      </c>
      <c r="C33" s="629"/>
      <c r="D33" s="629"/>
      <c r="E33" s="629"/>
      <c r="F33" s="629"/>
      <c r="G33" s="629"/>
      <c r="H33" s="710"/>
      <c r="I33" s="634" t="str">
        <f>C65</f>
        <v>Excelente</v>
      </c>
      <c r="J33" s="635"/>
      <c r="K33" s="634" t="str">
        <f>C65</f>
        <v>Excelente</v>
      </c>
      <c r="L33" s="635"/>
      <c r="M33" s="634" t="str">
        <f>C65</f>
        <v>Excelente</v>
      </c>
      <c r="N33" s="635"/>
      <c r="O33" s="634" t="str">
        <f>C65</f>
        <v>Excelente</v>
      </c>
      <c r="P33" s="635"/>
      <c r="Q33" s="12"/>
      <c r="R33" s="12"/>
      <c r="S33" s="12"/>
    </row>
    <row r="34" spans="2:19" ht="24.95" customHeight="1" thickBot="1">
      <c r="B34" s="630"/>
      <c r="C34" s="631"/>
      <c r="D34" s="631"/>
      <c r="E34" s="631"/>
      <c r="F34" s="631"/>
      <c r="G34" s="631"/>
      <c r="H34" s="737"/>
      <c r="I34" s="122" t="s">
        <v>21</v>
      </c>
      <c r="J34" s="123">
        <f>IF(I33=$C$65,$F$65,IF(I33=$C$66,$F$66,0))</f>
        <v>2</v>
      </c>
      <c r="K34" s="124" t="s">
        <v>21</v>
      </c>
      <c r="L34" s="123">
        <f>IF(K33=$C$65,$F$65,IF(K33=$C$66,$F$66,0))</f>
        <v>2</v>
      </c>
      <c r="M34" s="124" t="s">
        <v>21</v>
      </c>
      <c r="N34" s="125">
        <f>IF(M33=$C$65,$F$65,IF(M33=$C$66,$F$66,0))</f>
        <v>2</v>
      </c>
      <c r="O34" s="124" t="s">
        <v>21</v>
      </c>
      <c r="P34" s="126">
        <f>IF(O33=$C$65,$F$65,IF(O33=$C$66,$F$66,0))</f>
        <v>2</v>
      </c>
      <c r="Q34" s="12"/>
      <c r="R34" s="12"/>
      <c r="S34" s="12"/>
    </row>
    <row r="35" spans="2:19" ht="24.95" customHeight="1" thickBot="1">
      <c r="B35" s="119"/>
      <c r="C35" s="120"/>
      <c r="D35" s="120"/>
      <c r="E35" s="120"/>
      <c r="F35" s="120"/>
      <c r="G35" s="120"/>
      <c r="H35" s="121"/>
      <c r="I35" s="133"/>
      <c r="J35" s="134"/>
      <c r="K35" s="135"/>
      <c r="L35" s="134"/>
      <c r="M35" s="135"/>
      <c r="N35" s="136"/>
      <c r="O35" s="135"/>
      <c r="P35" s="137"/>
      <c r="Q35" s="12"/>
      <c r="R35" s="12"/>
      <c r="S35" s="12"/>
    </row>
    <row r="36" spans="2:19" ht="24.95" customHeight="1" thickBot="1">
      <c r="B36" s="119"/>
      <c r="C36" s="120"/>
      <c r="D36" s="120"/>
      <c r="E36" s="120"/>
      <c r="F36" s="120"/>
      <c r="G36" s="120"/>
      <c r="H36" s="121"/>
      <c r="I36" s="133"/>
      <c r="J36" s="134"/>
      <c r="K36" s="135"/>
      <c r="L36" s="134"/>
      <c r="M36" s="135"/>
      <c r="N36" s="136"/>
      <c r="O36" s="135"/>
      <c r="P36" s="137"/>
      <c r="Q36" s="12"/>
      <c r="R36" s="12"/>
      <c r="S36" s="12"/>
    </row>
    <row r="37" spans="2:19" ht="24.95" customHeight="1" thickBot="1">
      <c r="B37" s="636" t="s">
        <v>62</v>
      </c>
      <c r="C37" s="637"/>
      <c r="D37" s="637"/>
      <c r="E37" s="637"/>
      <c r="F37" s="637"/>
      <c r="G37" s="637"/>
      <c r="H37" s="720"/>
      <c r="I37" s="127"/>
      <c r="J37" s="131">
        <f>J23+J25+J27+J30+J32+J34</f>
        <v>6</v>
      </c>
      <c r="K37" s="129"/>
      <c r="L37" s="132">
        <f>L23+L25+L27+L30+L32+L34</f>
        <v>8</v>
      </c>
      <c r="M37" s="130"/>
      <c r="N37" s="142">
        <f>N23+N25+N27+N30+N32+N34</f>
        <v>10</v>
      </c>
      <c r="O37" s="27"/>
      <c r="P37" s="142">
        <f>P23+P25+P27+P30+P32+P34</f>
        <v>8</v>
      </c>
      <c r="Q37" s="6"/>
      <c r="R37" s="6"/>
      <c r="S37" s="6"/>
    </row>
    <row r="38" spans="2:19" ht="24.95" customHeight="1" thickBot="1">
      <c r="B38" s="620" t="s">
        <v>61</v>
      </c>
      <c r="C38" s="620"/>
      <c r="D38" s="620"/>
      <c r="E38" s="620"/>
      <c r="F38" s="620"/>
      <c r="G38" s="620"/>
      <c r="H38" s="620"/>
      <c r="I38" s="131"/>
      <c r="J38" s="128">
        <v>10</v>
      </c>
      <c r="K38" s="131"/>
      <c r="L38" s="128">
        <v>10</v>
      </c>
      <c r="M38" s="138"/>
      <c r="N38" s="140">
        <v>10</v>
      </c>
      <c r="O38" s="139"/>
      <c r="P38" s="141">
        <v>10</v>
      </c>
      <c r="Q38" s="6"/>
      <c r="R38" s="6"/>
      <c r="S38" s="6"/>
    </row>
    <row r="39" spans="2:19" ht="24.95" customHeight="1" thickBot="1">
      <c r="B39" s="616" t="s">
        <v>63</v>
      </c>
      <c r="C39" s="616"/>
      <c r="D39" s="616"/>
      <c r="E39" s="616"/>
      <c r="F39" s="616"/>
      <c r="G39" s="616"/>
      <c r="H39" s="616"/>
      <c r="I39" s="107"/>
      <c r="J39" s="145">
        <f>J37+J38</f>
        <v>16</v>
      </c>
      <c r="K39" s="24"/>
      <c r="L39" s="145">
        <f>L37+L38</f>
        <v>18</v>
      </c>
      <c r="M39" s="146"/>
      <c r="N39" s="144">
        <f>N37+N38</f>
        <v>20</v>
      </c>
      <c r="O39" s="143"/>
      <c r="P39" s="144">
        <f>P37+P38</f>
        <v>18</v>
      </c>
      <c r="Q39" s="6"/>
      <c r="R39" s="6"/>
      <c r="S39" s="6"/>
    </row>
    <row r="40" spans="2:19" ht="24.95" customHeight="1">
      <c r="B40" s="69"/>
      <c r="C40" s="70" t="s">
        <v>24</v>
      </c>
      <c r="D40" s="71"/>
      <c r="E40" s="70" t="s">
        <v>25</v>
      </c>
      <c r="F40" s="71"/>
      <c r="G40" s="69"/>
      <c r="H40" s="69"/>
      <c r="I40" s="72" t="str">
        <f>IF($H$17&gt;(3000*$I$45),"COORDINADOR DE PROYECTOS","")</f>
        <v>COORDINADOR DE PROYECTOS</v>
      </c>
      <c r="J40" s="69"/>
      <c r="K40" s="69"/>
      <c r="L40" s="73" t="str">
        <f>IF($H$17&gt;(7500*$I$45),"GERENTE TÉCNICO","")</f>
        <v>GERENTE TÉCNICO</v>
      </c>
      <c r="O40" s="45"/>
      <c r="P40" s="99"/>
      <c r="Q40" s="45"/>
      <c r="R40" s="45"/>
      <c r="S40" s="45"/>
    </row>
    <row r="41" spans="2:19" ht="24.95" customHeight="1">
      <c r="B41" s="26"/>
      <c r="C41" s="22"/>
      <c r="D41" s="26"/>
      <c r="E41" s="48" t="s">
        <v>4</v>
      </c>
      <c r="F41" s="26"/>
      <c r="G41" s="26"/>
      <c r="H41" s="26"/>
      <c r="I41" s="26" t="str">
        <f>IF(I40&lt;&gt;"","FECHA:","")</f>
        <v>FECHA:</v>
      </c>
      <c r="J41" s="26"/>
      <c r="K41" s="26"/>
      <c r="L41" s="48" t="str">
        <f>IF(L40&lt;&gt;"","FECHA:","")</f>
        <v>FECHA:</v>
      </c>
      <c r="N41" s="73"/>
      <c r="P41" s="46"/>
      <c r="Q41" s="46"/>
      <c r="R41" s="46"/>
      <c r="S41" s="46"/>
    </row>
    <row r="42" spans="2:19" ht="24.95" customHeight="1">
      <c r="B42" s="47"/>
      <c r="C42" s="47"/>
      <c r="H42" s="104"/>
      <c r="L42" s="100"/>
      <c r="O42" s="46"/>
    </row>
    <row r="43" spans="2:19" ht="24.95" customHeight="1">
      <c r="M43" s="91"/>
    </row>
    <row r="44" spans="2:19" ht="24.95" customHeight="1">
      <c r="C44" s="617" t="s">
        <v>26</v>
      </c>
      <c r="D44" s="618"/>
      <c r="E44" s="619"/>
      <c r="F44" s="13" t="s">
        <v>27</v>
      </c>
      <c r="H44" s="65" t="s">
        <v>28</v>
      </c>
      <c r="I44" s="66">
        <f ca="1">TODAY()</f>
        <v>46233</v>
      </c>
      <c r="J44" s="6"/>
      <c r="K44" s="14"/>
      <c r="L44"/>
      <c r="M44"/>
      <c r="N44"/>
      <c r="O44" s="6"/>
      <c r="P44" s="6"/>
      <c r="Q44" s="6"/>
      <c r="R44" s="6"/>
      <c r="S44" s="6"/>
    </row>
    <row r="45" spans="2:19" ht="24.95" customHeight="1">
      <c r="C45" s="610" t="s">
        <v>29</v>
      </c>
      <c r="D45" s="611"/>
      <c r="E45" s="611"/>
      <c r="F45" s="52"/>
      <c r="H45" s="67" t="s">
        <v>30</v>
      </c>
      <c r="I45" s="68"/>
    </row>
    <row r="46" spans="2:19" ht="24.95" customHeight="1">
      <c r="B46" s="7"/>
      <c r="C46" s="53" t="s">
        <v>31</v>
      </c>
      <c r="D46" s="54"/>
      <c r="E46" s="55"/>
      <c r="F46" s="56">
        <v>2</v>
      </c>
    </row>
    <row r="47" spans="2:19" ht="24.95" customHeight="1">
      <c r="B47" s="7"/>
      <c r="C47" s="57" t="s">
        <v>32</v>
      </c>
      <c r="D47" s="58"/>
      <c r="E47" s="59"/>
      <c r="F47" s="60">
        <v>0</v>
      </c>
      <c r="H47" s="15"/>
      <c r="I47" s="80"/>
      <c r="J47" s="79"/>
    </row>
    <row r="48" spans="2:19" ht="24.95" customHeight="1">
      <c r="C48" s="610" t="s">
        <v>33</v>
      </c>
      <c r="D48" s="611"/>
      <c r="E48" s="611"/>
      <c r="F48" s="52"/>
      <c r="I48" s="80"/>
      <c r="J48" s="79"/>
    </row>
    <row r="49" spans="1:8" ht="24.95" customHeight="1">
      <c r="B49" s="7"/>
      <c r="C49" s="53" t="s">
        <v>34</v>
      </c>
      <c r="D49" s="54"/>
      <c r="E49" s="55"/>
      <c r="F49" s="56">
        <v>2</v>
      </c>
    </row>
    <row r="50" spans="1:8" ht="24.95" customHeight="1">
      <c r="B50" s="7"/>
      <c r="C50" s="57" t="s">
        <v>35</v>
      </c>
      <c r="D50" s="58"/>
      <c r="E50" s="59"/>
      <c r="F50" s="60">
        <v>0</v>
      </c>
    </row>
    <row r="51" spans="1:8" ht="24.95" customHeight="1">
      <c r="A51" s="6"/>
      <c r="C51" s="610" t="s">
        <v>36</v>
      </c>
      <c r="D51" s="611"/>
      <c r="E51" s="611"/>
      <c r="F51" s="52"/>
    </row>
    <row r="52" spans="1:8" ht="24.95" customHeight="1">
      <c r="C52" s="57" t="s">
        <v>37</v>
      </c>
      <c r="D52" s="58"/>
      <c r="E52" s="59"/>
      <c r="F52" s="60">
        <v>3</v>
      </c>
      <c r="H52" s="6"/>
    </row>
    <row r="53" spans="1:8" ht="24.95" customHeight="1">
      <c r="C53" s="57" t="s">
        <v>38</v>
      </c>
      <c r="D53" s="58"/>
      <c r="E53" s="59"/>
      <c r="F53" s="60">
        <v>2</v>
      </c>
      <c r="H53" s="6"/>
    </row>
    <row r="54" spans="1:8" ht="24.95" customHeight="1">
      <c r="C54" s="57" t="s">
        <v>39</v>
      </c>
      <c r="D54" s="58"/>
      <c r="E54" s="59"/>
      <c r="F54" s="60">
        <v>1</v>
      </c>
      <c r="H54" s="6"/>
    </row>
    <row r="55" spans="1:8" ht="24.95" customHeight="1">
      <c r="C55" s="57" t="s">
        <v>73</v>
      </c>
      <c r="D55" s="58"/>
      <c r="E55" s="59"/>
      <c r="F55" s="60">
        <v>0</v>
      </c>
      <c r="H55" s="6"/>
    </row>
    <row r="56" spans="1:8" ht="24.95" customHeight="1">
      <c r="C56" s="610" t="s">
        <v>40</v>
      </c>
      <c r="D56" s="611"/>
      <c r="E56" s="611"/>
      <c r="F56" s="52"/>
    </row>
    <row r="57" spans="1:8" ht="24.95" customHeight="1">
      <c r="C57" s="61" t="s">
        <v>41</v>
      </c>
      <c r="D57" s="58"/>
      <c r="E57" s="59"/>
      <c r="F57" s="60">
        <v>3</v>
      </c>
    </row>
    <row r="58" spans="1:8" ht="24.95" customHeight="1">
      <c r="C58" s="61" t="s">
        <v>42</v>
      </c>
      <c r="D58" s="58"/>
      <c r="E58" s="59"/>
      <c r="F58" s="60">
        <v>2</v>
      </c>
    </row>
    <row r="59" spans="1:8" ht="24.95" customHeight="1">
      <c r="C59" s="61" t="s">
        <v>43</v>
      </c>
      <c r="D59" s="58"/>
      <c r="E59" s="59"/>
      <c r="F59" s="60">
        <v>1</v>
      </c>
    </row>
    <row r="60" spans="1:8" ht="24.95" customHeight="1">
      <c r="C60" s="61" t="s">
        <v>55</v>
      </c>
      <c r="D60" s="58"/>
      <c r="E60" s="58"/>
      <c r="F60" s="52">
        <v>0</v>
      </c>
    </row>
    <row r="61" spans="1:8" ht="24.95" customHeight="1">
      <c r="C61" s="610" t="s">
        <v>44</v>
      </c>
      <c r="D61" s="611"/>
      <c r="E61" s="611"/>
      <c r="F61" s="52"/>
    </row>
    <row r="62" spans="1:8" ht="24.95" customHeight="1">
      <c r="C62" s="57" t="s">
        <v>45</v>
      </c>
      <c r="D62" s="58"/>
      <c r="E62" s="59"/>
      <c r="F62" s="60">
        <v>2</v>
      </c>
    </row>
    <row r="63" spans="1:8" ht="24.95" customHeight="1">
      <c r="C63" s="57" t="s">
        <v>46</v>
      </c>
      <c r="D63" s="58"/>
      <c r="E63" s="59"/>
      <c r="F63" s="60">
        <v>0</v>
      </c>
    </row>
    <row r="64" spans="1:8" ht="24.95" customHeight="1">
      <c r="C64" s="610" t="s">
        <v>58</v>
      </c>
      <c r="D64" s="611"/>
      <c r="E64" s="611"/>
      <c r="F64" s="612"/>
    </row>
    <row r="65" spans="2:8" ht="24.95" customHeight="1">
      <c r="C65" s="57" t="s">
        <v>59</v>
      </c>
      <c r="D65" s="58"/>
      <c r="E65" s="59"/>
      <c r="F65" s="60">
        <v>2</v>
      </c>
    </row>
    <row r="66" spans="2:8" ht="24.95" customHeight="1">
      <c r="C66" s="57" t="s">
        <v>60</v>
      </c>
      <c r="D66" s="58"/>
      <c r="E66" s="59"/>
      <c r="F66" s="60">
        <v>0</v>
      </c>
    </row>
    <row r="67" spans="2:8" ht="24.95" customHeight="1">
      <c r="C67" s="613" t="s">
        <v>47</v>
      </c>
      <c r="D67" s="614"/>
      <c r="E67" s="615"/>
      <c r="F67" s="62" t="s">
        <v>48</v>
      </c>
    </row>
    <row r="68" spans="2:8" ht="24.95" customHeight="1">
      <c r="B68" s="6"/>
      <c r="C68" s="63"/>
      <c r="D68" s="63"/>
      <c r="E68" s="63" t="s">
        <v>15</v>
      </c>
      <c r="F68" s="64">
        <f>10+F46+F49+F52+F57+F62+F65</f>
        <v>24</v>
      </c>
      <c r="H68" s="6"/>
    </row>
    <row r="69" spans="2:8" ht="20.100000000000001" customHeight="1"/>
  </sheetData>
  <mergeCells count="85">
    <mergeCell ref="M26:N26"/>
    <mergeCell ref="C64:F64"/>
    <mergeCell ref="C67:E67"/>
    <mergeCell ref="C44:E44"/>
    <mergeCell ref="C45:E45"/>
    <mergeCell ref="C48:E48"/>
    <mergeCell ref="C51:E51"/>
    <mergeCell ref="C56:E56"/>
    <mergeCell ref="B38:H38"/>
    <mergeCell ref="B39:H39"/>
    <mergeCell ref="C61:E61"/>
    <mergeCell ref="B37:H37"/>
    <mergeCell ref="B33:H34"/>
    <mergeCell ref="I33:J33"/>
    <mergeCell ref="K33:L33"/>
    <mergeCell ref="M29:N29"/>
    <mergeCell ref="K22:L22"/>
    <mergeCell ref="B24:H25"/>
    <mergeCell ref="B29:H30"/>
    <mergeCell ref="I26:J26"/>
    <mergeCell ref="K26:L26"/>
    <mergeCell ref="B26:H28"/>
    <mergeCell ref="I29:J29"/>
    <mergeCell ref="K29:L29"/>
    <mergeCell ref="B21:H21"/>
    <mergeCell ref="I21:J21"/>
    <mergeCell ref="B22:H23"/>
    <mergeCell ref="I22:J22"/>
    <mergeCell ref="B20:H20"/>
    <mergeCell ref="M18:N18"/>
    <mergeCell ref="O18:P18"/>
    <mergeCell ref="M21:N21"/>
    <mergeCell ref="O21:P21"/>
    <mergeCell ref="K21:L21"/>
    <mergeCell ref="O26:P26"/>
    <mergeCell ref="A15:A16"/>
    <mergeCell ref="B15:G15"/>
    <mergeCell ref="B16:G16"/>
    <mergeCell ref="I16:J16"/>
    <mergeCell ref="K16:L16"/>
    <mergeCell ref="A17:A20"/>
    <mergeCell ref="B17:G17"/>
    <mergeCell ref="I17:J17"/>
    <mergeCell ref="K17:L17"/>
    <mergeCell ref="M22:N22"/>
    <mergeCell ref="O22:P22"/>
    <mergeCell ref="O17:P17"/>
    <mergeCell ref="B18:H19"/>
    <mergeCell ref="I18:J18"/>
    <mergeCell ref="K18:L18"/>
    <mergeCell ref="O16:P16"/>
    <mergeCell ref="C8:D8"/>
    <mergeCell ref="R8:S8"/>
    <mergeCell ref="C12:D12"/>
    <mergeCell ref="C13:D13"/>
    <mergeCell ref="C14:D14"/>
    <mergeCell ref="B5:C5"/>
    <mergeCell ref="D5:G5"/>
    <mergeCell ref="A1:T1"/>
    <mergeCell ref="B3:C3"/>
    <mergeCell ref="D3:G3"/>
    <mergeCell ref="B4:C4"/>
    <mergeCell ref="D4:G4"/>
    <mergeCell ref="I6:Y6"/>
    <mergeCell ref="B7:H7"/>
    <mergeCell ref="I7:J7"/>
    <mergeCell ref="K7:L7"/>
    <mergeCell ref="M7:N7"/>
    <mergeCell ref="O7:P7"/>
    <mergeCell ref="T7:Y7"/>
    <mergeCell ref="X8:Y8"/>
    <mergeCell ref="A9:A14"/>
    <mergeCell ref="C9:D9"/>
    <mergeCell ref="C10:D10"/>
    <mergeCell ref="C11:D11"/>
    <mergeCell ref="V8:W8"/>
    <mergeCell ref="T8:U8"/>
    <mergeCell ref="O29:P29"/>
    <mergeCell ref="M33:N33"/>
    <mergeCell ref="O33:P33"/>
    <mergeCell ref="B31:H32"/>
    <mergeCell ref="I31:J31"/>
    <mergeCell ref="K31:L31"/>
    <mergeCell ref="M31:N31"/>
    <mergeCell ref="O31:P31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19E7-0BE8-44DB-832B-11645DE0D635}">
  <sheetPr>
    <tabColor theme="0" tint="-4.9989318521683403E-2"/>
  </sheetPr>
  <dimension ref="A1:W69"/>
  <sheetViews>
    <sheetView tabSelected="1" topLeftCell="D3" zoomScale="60" zoomScaleNormal="60" workbookViewId="0">
      <pane ySplit="5" topLeftCell="A8" activePane="bottomLeft" state="frozen"/>
      <selection activeCell="G3" sqref="G3"/>
      <selection pane="bottomLeft" activeCell="B18" sqref="B18:H19"/>
    </sheetView>
  </sheetViews>
  <sheetFormatPr baseColWidth="10" defaultColWidth="11.5" defaultRowHeight="11.25"/>
  <cols>
    <col min="1" max="1" width="5.875" style="5" customWidth="1"/>
    <col min="2" max="2" width="5.625" style="5" customWidth="1"/>
    <col min="3" max="3" width="26.125" style="5" customWidth="1"/>
    <col min="4" max="4" width="86.5" style="5" customWidth="1"/>
    <col min="5" max="5" width="25.625" style="5" customWidth="1"/>
    <col min="6" max="6" width="16.125" style="5" customWidth="1"/>
    <col min="7" max="7" width="22.125" style="5" customWidth="1"/>
    <col min="8" max="8" width="23.375" style="5" customWidth="1"/>
    <col min="9" max="12" width="25.625" style="5" customWidth="1"/>
    <col min="13" max="13" width="26.625" style="5" customWidth="1"/>
    <col min="14" max="16" width="25.625" style="5" customWidth="1"/>
    <col min="17" max="18" width="22.5" style="5" customWidth="1"/>
    <col min="19" max="23" width="20.625" style="5" customWidth="1"/>
    <col min="24" max="24" width="11.5" style="5" customWidth="1"/>
    <col min="25" max="16384" width="11.5" style="5"/>
  </cols>
  <sheetData>
    <row r="1" spans="1:23" ht="113.1" customHeight="1" thickBot="1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1"/>
      <c r="T1" s="1"/>
      <c r="U1" s="2" t="s">
        <v>1</v>
      </c>
      <c r="V1" s="3">
        <v>0</v>
      </c>
      <c r="W1" s="4">
        <f>V1+W2</f>
        <v>1</v>
      </c>
    </row>
    <row r="2" spans="1:23" ht="20.25" customHeight="1" thickBot="1">
      <c r="W2" s="20">
        <v>1</v>
      </c>
    </row>
    <row r="3" spans="1:23" ht="35.25" customHeight="1" thickBot="1">
      <c r="B3" s="688" t="s">
        <v>2</v>
      </c>
      <c r="C3" s="688"/>
      <c r="D3" s="689" t="s">
        <v>3</v>
      </c>
      <c r="E3" s="689"/>
      <c r="F3" s="689"/>
      <c r="G3" s="689"/>
      <c r="H3" s="21" t="s">
        <v>4</v>
      </c>
      <c r="I3" s="98">
        <v>46170</v>
      </c>
      <c r="J3" s="22"/>
      <c r="K3" s="21" t="s">
        <v>5</v>
      </c>
      <c r="L3" s="23">
        <v>1</v>
      </c>
      <c r="M3" s="24"/>
      <c r="N3" s="24"/>
      <c r="O3" s="24"/>
      <c r="P3" s="24"/>
      <c r="Q3" s="24"/>
      <c r="R3" s="24"/>
    </row>
    <row r="4" spans="1:23" ht="63" customHeight="1">
      <c r="A4" s="25"/>
      <c r="B4" s="690" t="s">
        <v>6</v>
      </c>
      <c r="C4" s="690"/>
      <c r="D4" s="691" t="s">
        <v>74</v>
      </c>
      <c r="E4" s="691"/>
      <c r="F4" s="691"/>
      <c r="G4" s="691"/>
      <c r="H4" s="22"/>
      <c r="I4" s="26"/>
      <c r="J4" s="81"/>
      <c r="K4" s="22"/>
      <c r="L4" s="22"/>
      <c r="M4" s="22"/>
      <c r="N4" s="22"/>
      <c r="O4" s="82"/>
      <c r="P4" s="22"/>
      <c r="Q4" s="22"/>
      <c r="R4" s="22"/>
    </row>
    <row r="5" spans="1:23" ht="18" customHeight="1" thickBot="1">
      <c r="A5" s="25"/>
      <c r="B5" s="688" t="s">
        <v>7</v>
      </c>
      <c r="C5" s="688"/>
      <c r="D5" s="692"/>
      <c r="E5" s="692"/>
      <c r="F5" s="692"/>
      <c r="G5" s="692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23" ht="18" customHeight="1" thickBot="1">
      <c r="A6" s="6"/>
      <c r="B6" s="6"/>
      <c r="C6" s="6"/>
      <c r="D6" s="6"/>
      <c r="E6" s="6"/>
      <c r="F6" s="6"/>
      <c r="G6" s="6"/>
      <c r="H6" s="6"/>
      <c r="I6" s="868"/>
      <c r="J6" s="870"/>
      <c r="K6" s="870"/>
      <c r="L6" s="870"/>
      <c r="M6" s="870"/>
      <c r="N6" s="870"/>
      <c r="O6" s="870"/>
      <c r="P6" s="870"/>
      <c r="Q6" s="870"/>
      <c r="R6" s="870"/>
      <c r="S6" s="870"/>
      <c r="T6" s="870"/>
      <c r="U6" s="870"/>
      <c r="V6" s="870"/>
      <c r="W6" s="869"/>
    </row>
    <row r="7" spans="1:23" ht="62.25" customHeight="1" thickBot="1">
      <c r="B7" s="695" t="s">
        <v>8</v>
      </c>
      <c r="C7" s="696"/>
      <c r="D7" s="696"/>
      <c r="E7" s="696"/>
      <c r="F7" s="696"/>
      <c r="G7" s="696"/>
      <c r="H7" s="735"/>
      <c r="I7" s="868" t="s">
        <v>155</v>
      </c>
      <c r="J7" s="869"/>
      <c r="K7" s="875" t="s">
        <v>156</v>
      </c>
      <c r="L7" s="876"/>
      <c r="M7" s="875" t="s">
        <v>243</v>
      </c>
      <c r="N7" s="876"/>
      <c r="O7" s="868" t="s">
        <v>157</v>
      </c>
      <c r="P7" s="869"/>
      <c r="Q7" s="27"/>
      <c r="R7" s="27"/>
      <c r="S7" s="870"/>
      <c r="T7" s="870"/>
      <c r="U7" s="870"/>
      <c r="V7" s="870"/>
      <c r="W7" s="869"/>
    </row>
    <row r="8" spans="1:23" ht="54.75" customHeight="1" thickBot="1">
      <c r="A8" s="6"/>
      <c r="B8" s="18" t="s">
        <v>10</v>
      </c>
      <c r="C8" s="685" t="s">
        <v>11</v>
      </c>
      <c r="D8" s="685"/>
      <c r="E8" s="29" t="s">
        <v>12</v>
      </c>
      <c r="F8" s="28" t="s">
        <v>13</v>
      </c>
      <c r="G8" s="28" t="s">
        <v>14</v>
      </c>
      <c r="H8" s="19" t="s">
        <v>15</v>
      </c>
      <c r="I8" s="18" t="s">
        <v>14</v>
      </c>
      <c r="J8" s="19" t="s">
        <v>15</v>
      </c>
      <c r="K8" s="18" t="s">
        <v>14</v>
      </c>
      <c r="L8" s="19" t="s">
        <v>15</v>
      </c>
      <c r="M8" s="18" t="s">
        <v>14</v>
      </c>
      <c r="N8" s="19" t="s">
        <v>15</v>
      </c>
      <c r="O8" s="18" t="s">
        <v>14</v>
      </c>
      <c r="P8" s="19" t="s">
        <v>15</v>
      </c>
      <c r="Q8" s="27" t="s">
        <v>10</v>
      </c>
      <c r="R8" s="18" t="s">
        <v>11</v>
      </c>
      <c r="S8" s="160"/>
      <c r="T8" s="871"/>
      <c r="U8" s="872"/>
      <c r="V8" s="874"/>
      <c r="W8" s="872"/>
    </row>
    <row r="9" spans="1:23" ht="45.75" customHeight="1">
      <c r="A9" s="679"/>
      <c r="B9" s="83">
        <v>1</v>
      </c>
      <c r="C9" s="747" t="s">
        <v>158</v>
      </c>
      <c r="D9" s="895"/>
      <c r="E9" s="304" t="s">
        <v>120</v>
      </c>
      <c r="F9" s="305">
        <v>1</v>
      </c>
      <c r="G9" s="345">
        <v>820100</v>
      </c>
      <c r="H9" s="346">
        <f t="shared" ref="H9" si="0">G9*F9</f>
        <v>820100</v>
      </c>
      <c r="I9" s="90"/>
      <c r="J9" s="152">
        <f>F9*I9</f>
        <v>0</v>
      </c>
      <c r="K9" s="153">
        <v>1</v>
      </c>
      <c r="L9" s="596">
        <f>11473.5*60</f>
        <v>688410</v>
      </c>
      <c r="M9" s="302">
        <v>1</v>
      </c>
      <c r="N9" s="602">
        <f>10345*60+(424.8*60)</f>
        <v>646188</v>
      </c>
      <c r="O9" s="598">
        <v>522107.44</v>
      </c>
      <c r="P9" s="591">
        <f t="shared" ref="P9" si="1">O9*F9</f>
        <v>522107.44</v>
      </c>
      <c r="Q9" s="30"/>
      <c r="R9" s="33"/>
      <c r="S9" s="32"/>
      <c r="T9" s="35"/>
      <c r="U9" s="36"/>
      <c r="V9" s="35"/>
      <c r="W9" s="36"/>
    </row>
    <row r="10" spans="1:23" ht="48" customHeight="1">
      <c r="A10" s="679"/>
      <c r="B10" s="83">
        <v>2</v>
      </c>
      <c r="C10" s="747" t="s">
        <v>159</v>
      </c>
      <c r="D10" s="895"/>
      <c r="E10" s="304" t="s">
        <v>50</v>
      </c>
      <c r="F10" s="305">
        <v>6</v>
      </c>
      <c r="G10" s="345"/>
      <c r="H10" s="346"/>
      <c r="I10" s="90">
        <v>195272</v>
      </c>
      <c r="J10" s="152">
        <f t="shared" ref="J10:J11" si="2">F10*I10</f>
        <v>1171632</v>
      </c>
      <c r="K10" s="90"/>
      <c r="L10" s="152"/>
      <c r="M10" s="90"/>
      <c r="N10" s="101"/>
      <c r="O10" s="157"/>
      <c r="P10" s="16"/>
      <c r="Q10" s="30"/>
      <c r="R10" s="33"/>
      <c r="S10" s="32"/>
      <c r="T10" s="35"/>
      <c r="U10" s="36"/>
      <c r="V10" s="35"/>
      <c r="W10" s="36"/>
    </row>
    <row r="11" spans="1:23" ht="48" customHeight="1">
      <c r="A11" s="679"/>
      <c r="B11" s="83">
        <v>3</v>
      </c>
      <c r="C11" s="747" t="s">
        <v>160</v>
      </c>
      <c r="D11" s="895"/>
      <c r="E11" s="304" t="s">
        <v>120</v>
      </c>
      <c r="F11" s="305">
        <v>1</v>
      </c>
      <c r="G11" s="345"/>
      <c r="H11" s="346"/>
      <c r="I11" s="90">
        <v>77667.632000000012</v>
      </c>
      <c r="J11" s="152">
        <f t="shared" si="2"/>
        <v>77667.632000000012</v>
      </c>
      <c r="K11" s="90"/>
      <c r="L11" s="152"/>
      <c r="M11" s="90"/>
      <c r="N11" s="101"/>
      <c r="O11" s="157"/>
      <c r="P11" s="16"/>
      <c r="Q11" s="30"/>
      <c r="R11" s="33"/>
      <c r="S11" s="32"/>
      <c r="T11" s="35"/>
      <c r="U11" s="36"/>
      <c r="V11" s="35"/>
      <c r="W11" s="36"/>
    </row>
    <row r="12" spans="1:23" ht="48" customHeight="1">
      <c r="A12" s="679"/>
      <c r="B12" s="83">
        <v>4</v>
      </c>
      <c r="C12" s="750"/>
      <c r="D12" s="765"/>
      <c r="E12" s="84"/>
      <c r="F12" s="84"/>
      <c r="G12" s="151"/>
      <c r="H12" s="85"/>
      <c r="I12" s="90"/>
      <c r="J12" s="152"/>
      <c r="K12" s="90"/>
      <c r="L12" s="152"/>
      <c r="M12" s="90"/>
      <c r="N12" s="101"/>
      <c r="O12" s="157"/>
      <c r="P12" s="16"/>
      <c r="R12" s="33"/>
      <c r="S12" s="32"/>
      <c r="T12" s="35"/>
      <c r="U12" s="36"/>
      <c r="V12" s="35"/>
      <c r="W12" s="36"/>
    </row>
    <row r="13" spans="1:23" ht="48" customHeight="1">
      <c r="A13" s="679"/>
      <c r="B13" s="83">
        <v>5</v>
      </c>
      <c r="C13" s="750"/>
      <c r="D13" s="765"/>
      <c r="E13" s="84"/>
      <c r="F13" s="84"/>
      <c r="G13" s="151"/>
      <c r="H13" s="85"/>
      <c r="I13" s="90"/>
      <c r="J13" s="152"/>
      <c r="K13" s="90"/>
      <c r="L13" s="152"/>
      <c r="M13" s="90"/>
      <c r="N13" s="101"/>
      <c r="O13" s="157"/>
      <c r="P13" s="16"/>
      <c r="Q13" s="30"/>
      <c r="R13" s="33"/>
      <c r="S13" s="32"/>
      <c r="T13" s="35"/>
      <c r="U13" s="36"/>
      <c r="V13" s="35"/>
      <c r="W13" s="36"/>
    </row>
    <row r="14" spans="1:23" ht="48" customHeight="1" thickBot="1">
      <c r="A14" s="679"/>
      <c r="B14" s="83">
        <v>6</v>
      </c>
      <c r="C14" s="750"/>
      <c r="D14" s="765"/>
      <c r="E14" s="84"/>
      <c r="F14" s="84"/>
      <c r="G14" s="156"/>
      <c r="H14" s="85"/>
      <c r="I14" s="90"/>
      <c r="J14" s="152"/>
      <c r="K14" s="90"/>
      <c r="L14" s="152"/>
      <c r="M14" s="90"/>
      <c r="N14" s="101"/>
      <c r="O14" s="157"/>
      <c r="P14" s="16"/>
      <c r="Q14" s="30"/>
      <c r="R14" s="33"/>
      <c r="S14" s="32"/>
      <c r="T14" s="35"/>
      <c r="U14" s="36"/>
      <c r="V14" s="35"/>
      <c r="W14" s="36"/>
    </row>
    <row r="15" spans="1:23" ht="30" customHeight="1" thickBot="1">
      <c r="A15" s="664" t="s">
        <v>16</v>
      </c>
      <c r="B15" s="666" t="s">
        <v>17</v>
      </c>
      <c r="C15" s="667"/>
      <c r="D15" s="667"/>
      <c r="E15" s="667"/>
      <c r="F15" s="667"/>
      <c r="G15" s="668"/>
      <c r="H15" s="97">
        <f>SUM(H9:H14)</f>
        <v>820100</v>
      </c>
      <c r="I15" s="87"/>
      <c r="J15" s="88">
        <f>SUM(J9:J14)</f>
        <v>1249299.632</v>
      </c>
      <c r="K15" s="94"/>
      <c r="L15" s="92">
        <f>SUM(L9:L14)</f>
        <v>688410</v>
      </c>
      <c r="M15" s="603"/>
      <c r="N15" s="93">
        <f>SUM(N9:N14)</f>
        <v>646188</v>
      </c>
      <c r="O15" s="95"/>
      <c r="P15" s="96">
        <f>SUM(P9:P14)</f>
        <v>522107.44</v>
      </c>
      <c r="Q15" s="9"/>
      <c r="R15" s="9"/>
      <c r="S15" s="7"/>
      <c r="T15" s="7"/>
      <c r="U15" s="7"/>
      <c r="V15" s="7"/>
      <c r="W15" s="39"/>
    </row>
    <row r="16" spans="1:23" ht="25.5" customHeight="1">
      <c r="A16" s="665"/>
      <c r="B16" s="669" t="s">
        <v>49</v>
      </c>
      <c r="C16" s="670"/>
      <c r="D16" s="670"/>
      <c r="E16" s="670"/>
      <c r="F16" s="670"/>
      <c r="G16" s="670"/>
      <c r="H16" s="37"/>
      <c r="I16" s="673">
        <f>I15*0.18</f>
        <v>0</v>
      </c>
      <c r="J16" s="887"/>
      <c r="K16" s="673">
        <f>0.18*K15</f>
        <v>0</v>
      </c>
      <c r="L16" s="755"/>
      <c r="M16" s="673">
        <f>0.18*M15</f>
        <v>0</v>
      </c>
      <c r="N16" s="672"/>
      <c r="O16" s="77"/>
      <c r="P16" s="592"/>
      <c r="Q16" s="8"/>
      <c r="R16" s="8"/>
      <c r="S16" s="7"/>
      <c r="T16" s="7"/>
      <c r="U16" s="7"/>
      <c r="V16" s="7"/>
      <c r="W16" s="39"/>
    </row>
    <row r="17" spans="1:23" ht="22.5" customHeight="1" thickBot="1">
      <c r="A17" s="665" t="s">
        <v>18</v>
      </c>
      <c r="B17" s="669" t="s">
        <v>19</v>
      </c>
      <c r="C17" s="670"/>
      <c r="D17" s="670"/>
      <c r="E17" s="670"/>
      <c r="F17" s="670"/>
      <c r="G17" s="670"/>
      <c r="H17" s="40">
        <f>H15+H16</f>
        <v>820100</v>
      </c>
      <c r="I17" s="732">
        <f>J15</f>
        <v>1249299.632</v>
      </c>
      <c r="J17" s="676"/>
      <c r="K17" s="896">
        <f>L15</f>
        <v>688410</v>
      </c>
      <c r="L17" s="897"/>
      <c r="M17" s="896">
        <f>N15</f>
        <v>646188</v>
      </c>
      <c r="N17" s="897"/>
      <c r="O17" s="78"/>
      <c r="P17" s="593">
        <f>P15+P16</f>
        <v>522107.44</v>
      </c>
      <c r="Q17" s="9"/>
      <c r="R17" s="9"/>
      <c r="S17" s="42"/>
      <c r="T17" s="42"/>
      <c r="U17" s="42"/>
      <c r="V17" s="42"/>
      <c r="W17" s="43"/>
    </row>
    <row r="18" spans="1:23" ht="27" customHeight="1">
      <c r="A18" s="665"/>
      <c r="B18" s="647" t="s">
        <v>20</v>
      </c>
      <c r="C18" s="648"/>
      <c r="D18" s="648"/>
      <c r="E18" s="648"/>
      <c r="F18" s="648"/>
      <c r="G18" s="648"/>
      <c r="H18" s="733"/>
      <c r="I18" s="646"/>
      <c r="J18" s="645"/>
      <c r="K18" s="646"/>
      <c r="L18" s="646"/>
      <c r="M18" s="644"/>
      <c r="N18" s="645"/>
      <c r="O18" s="751"/>
      <c r="P18" s="635"/>
      <c r="Q18" s="74"/>
      <c r="R18" s="12"/>
    </row>
    <row r="19" spans="1:23" ht="23.25" customHeight="1">
      <c r="A19" s="665"/>
      <c r="B19" s="647"/>
      <c r="C19" s="648"/>
      <c r="D19" s="648"/>
      <c r="E19" s="648"/>
      <c r="F19" s="648"/>
      <c r="G19" s="648"/>
      <c r="H19" s="733"/>
      <c r="I19" s="49" t="s">
        <v>21</v>
      </c>
      <c r="J19" s="148">
        <v>3</v>
      </c>
      <c r="K19" s="149" t="s">
        <v>21</v>
      </c>
      <c r="L19" s="284">
        <v>1</v>
      </c>
      <c r="M19" s="594" t="s">
        <v>21</v>
      </c>
      <c r="N19" s="243">
        <v>2</v>
      </c>
      <c r="O19" s="149" t="s">
        <v>21</v>
      </c>
      <c r="P19" s="243">
        <v>4</v>
      </c>
      <c r="Q19" s="74"/>
    </row>
    <row r="20" spans="1:23" ht="27.75" customHeight="1" thickBot="1">
      <c r="A20" s="674"/>
      <c r="B20" s="647" t="s">
        <v>22</v>
      </c>
      <c r="C20" s="648"/>
      <c r="D20" s="648"/>
      <c r="E20" s="648"/>
      <c r="F20" s="648"/>
      <c r="G20" s="648"/>
      <c r="H20" s="733"/>
      <c r="I20" s="102" t="s">
        <v>23</v>
      </c>
      <c r="J20" s="103">
        <f>IF(OR($H$17=0,I17=0),"-",I17-$H$17)</f>
        <v>429199.63199999998</v>
      </c>
      <c r="K20" s="102" t="s">
        <v>23</v>
      </c>
      <c r="L20" s="183">
        <f>IF(OR($H$17=0,K17=0),"-",K17-$H$17)</f>
        <v>-131690</v>
      </c>
      <c r="M20" s="102" t="s">
        <v>23</v>
      </c>
      <c r="N20" s="103">
        <f>IF(OR($H$17=0,M17=0),"-",M17-$H$17)</f>
        <v>-173912</v>
      </c>
      <c r="O20" s="599" t="s">
        <v>23</v>
      </c>
      <c r="P20" s="103">
        <f>IF(OR($H$17=0,P17=0),"-",P17-$H$17)</f>
        <v>-297992.56</v>
      </c>
      <c r="Q20" s="75"/>
      <c r="R20" s="75"/>
    </row>
    <row r="21" spans="1:23" ht="24.95" customHeight="1">
      <c r="A21" s="7"/>
      <c r="B21" s="650" t="s">
        <v>51</v>
      </c>
      <c r="C21" s="651"/>
      <c r="D21" s="651"/>
      <c r="E21" s="651"/>
      <c r="F21" s="651"/>
      <c r="G21" s="651"/>
      <c r="H21" s="727"/>
      <c r="I21" s="738">
        <f>J20*77</f>
        <v>33048371.663999997</v>
      </c>
      <c r="J21" s="654"/>
      <c r="K21" s="655">
        <f>L20*77</f>
        <v>-10140130</v>
      </c>
      <c r="L21" s="898"/>
      <c r="M21" s="655">
        <f>N20*77</f>
        <v>-13391224</v>
      </c>
      <c r="N21" s="656"/>
      <c r="O21" s="756">
        <f>P20*77</f>
        <v>-22945427.120000001</v>
      </c>
      <c r="P21" s="658"/>
      <c r="Q21" s="76"/>
      <c r="R21" s="76"/>
    </row>
    <row r="22" spans="1:23" ht="36" customHeight="1">
      <c r="A22" s="7"/>
      <c r="B22" s="621" t="s">
        <v>20</v>
      </c>
      <c r="C22" s="622"/>
      <c r="D22" s="622"/>
      <c r="E22" s="622"/>
      <c r="F22" s="622"/>
      <c r="G22" s="622"/>
      <c r="H22" s="713"/>
      <c r="I22" s="663" t="str">
        <f>IF(OR($H$17=0,I17=0),"",IF(I17&lt;=$H$17,$C$46,$C$47))</f>
        <v>Precio mayor al presupuesto</v>
      </c>
      <c r="J22" s="660"/>
      <c r="K22" s="663" t="str">
        <f>IF(OR($H$17=0,K17=0),"",IF(K17&lt;=$H$17,$C$46,$C$47))</f>
        <v>Precio menor o igual al presupuesto</v>
      </c>
      <c r="L22" s="663"/>
      <c r="M22" s="661" t="str">
        <f>IF(OR($H$17=0,M17=0),"",IF(M17&lt;=$H$17,$C$46,$C$47))</f>
        <v>Precio menor o igual al presupuesto</v>
      </c>
      <c r="N22" s="709"/>
      <c r="O22" s="663" t="str">
        <f>IF(OR($H$17=0,P17=0),"",IF(P17&lt;=$H$17,$C$46,$C$47))</f>
        <v>Precio menor o igual al presupuesto</v>
      </c>
      <c r="P22" s="660"/>
      <c r="Q22" s="76"/>
      <c r="R22" s="76"/>
    </row>
    <row r="23" spans="1:23" ht="24.95" customHeight="1">
      <c r="A23" s="7"/>
      <c r="B23" s="621"/>
      <c r="C23" s="622"/>
      <c r="D23" s="622"/>
      <c r="E23" s="622"/>
      <c r="F23" s="622"/>
      <c r="G23" s="622"/>
      <c r="H23" s="713"/>
      <c r="I23" s="108" t="s">
        <v>21</v>
      </c>
      <c r="J23" s="109">
        <f>IF(I22=$C$46,$F$46,0)</f>
        <v>0</v>
      </c>
      <c r="K23" s="108" t="s">
        <v>21</v>
      </c>
      <c r="L23" s="245">
        <f>IF(K22=$C$46,$F$46,0)</f>
        <v>2</v>
      </c>
      <c r="M23" s="539" t="s">
        <v>21</v>
      </c>
      <c r="N23" s="109">
        <f>IF(M22=$C$46,$F$46,0)</f>
        <v>2</v>
      </c>
      <c r="O23" s="108" t="s">
        <v>21</v>
      </c>
      <c r="P23" s="109">
        <f>IF(O22=$C$46,$F$46,0)</f>
        <v>2</v>
      </c>
      <c r="Q23" s="76"/>
      <c r="R23" s="76"/>
    </row>
    <row r="24" spans="1:23" ht="24.95" customHeight="1">
      <c r="A24" s="7"/>
      <c r="B24" s="621" t="s">
        <v>22</v>
      </c>
      <c r="C24" s="622"/>
      <c r="D24" s="622"/>
      <c r="E24" s="622"/>
      <c r="F24" s="622"/>
      <c r="G24" s="622"/>
      <c r="H24" s="713"/>
      <c r="I24" s="108" t="s">
        <v>23</v>
      </c>
      <c r="J24" s="101">
        <f>IF(OR($H$17=0,I17=0),"-",I17-$H$17)</f>
        <v>429199.63199999998</v>
      </c>
      <c r="K24" s="108" t="s">
        <v>23</v>
      </c>
      <c r="L24" s="246">
        <f>IF(OR($H$17=0,K17=0),"-",K17-$H$17)</f>
        <v>-131690</v>
      </c>
      <c r="M24" s="173" t="s">
        <v>23</v>
      </c>
      <c r="N24" s="101">
        <f>IF(OR($H$17=0,M17=0),"-",M17-$H$17)</f>
        <v>-173912</v>
      </c>
      <c r="O24" s="108" t="s">
        <v>23</v>
      </c>
      <c r="P24" s="101">
        <f>IF(OR($H$17=0,P17=0),"-",P17-$H$17)</f>
        <v>-297992.56</v>
      </c>
      <c r="Q24" s="76"/>
      <c r="R24" s="76"/>
    </row>
    <row r="25" spans="1:23" ht="34.5" customHeight="1">
      <c r="A25" s="7"/>
      <c r="B25" s="621"/>
      <c r="C25" s="622"/>
      <c r="D25" s="622"/>
      <c r="E25" s="622"/>
      <c r="F25" s="622"/>
      <c r="G25" s="622"/>
      <c r="H25" s="713"/>
      <c r="I25" s="111" t="s">
        <v>21</v>
      </c>
      <c r="J25" s="50">
        <f>IF(AND(J24&lt;L24,J24&lt;P24,J24&lt;N24),2,0)</f>
        <v>0</v>
      </c>
      <c r="K25" s="110" t="s">
        <v>21</v>
      </c>
      <c r="L25" s="247">
        <f>IF(AND(L24&lt;P24,L24&lt;J24,L24&lt;N24,),2,0)</f>
        <v>0</v>
      </c>
      <c r="M25" s="508" t="s">
        <v>21</v>
      </c>
      <c r="N25" s="50">
        <f>IF(AND(N24&lt;R24,N24&lt;L24,N24&lt;J24,N24&lt;P24),2,0)</f>
        <v>0</v>
      </c>
      <c r="O25" s="105" t="s">
        <v>21</v>
      </c>
      <c r="P25" s="50">
        <f>IF(AND(P24&lt;L24,P24&lt;J24,P24&lt;N24),2,0)</f>
        <v>2</v>
      </c>
      <c r="Q25" s="76"/>
      <c r="R25" s="76"/>
    </row>
    <row r="26" spans="1:23" ht="34.5" customHeight="1">
      <c r="A26" s="7"/>
      <c r="B26" s="628" t="s">
        <v>53</v>
      </c>
      <c r="C26" s="629"/>
      <c r="D26" s="629"/>
      <c r="E26" s="629"/>
      <c r="F26" s="629"/>
      <c r="G26" s="629"/>
      <c r="H26" s="710"/>
      <c r="I26" s="642" t="str">
        <f>C53</f>
        <v>Por valuación de obra ejecutada con anticipo</v>
      </c>
      <c r="J26" s="643"/>
      <c r="K26" s="642" t="str">
        <f>C53</f>
        <v>Por valuación de obra ejecutada con anticipo</v>
      </c>
      <c r="L26" s="757"/>
      <c r="M26" s="642" t="str">
        <f>C53</f>
        <v>Por valuación de obra ejecutada con anticipo</v>
      </c>
      <c r="N26" s="757"/>
      <c r="O26" s="757" t="str">
        <f>C53</f>
        <v>Por valuación de obra ejecutada con anticipo</v>
      </c>
      <c r="P26" s="643"/>
      <c r="Q26" s="76"/>
      <c r="R26" s="76"/>
    </row>
    <row r="27" spans="1:23" ht="24.95" customHeight="1">
      <c r="B27" s="638"/>
      <c r="C27" s="639"/>
      <c r="D27" s="639"/>
      <c r="E27" s="639"/>
      <c r="F27" s="639"/>
      <c r="G27" s="639"/>
      <c r="H27" s="711"/>
      <c r="I27" s="113" t="s">
        <v>21</v>
      </c>
      <c r="J27" s="114">
        <v>2</v>
      </c>
      <c r="K27" s="113" t="s">
        <v>21</v>
      </c>
      <c r="L27" s="287">
        <v>2</v>
      </c>
      <c r="M27" s="113" t="s">
        <v>21</v>
      </c>
      <c r="N27" s="114">
        <v>2</v>
      </c>
      <c r="O27" s="287" t="s">
        <v>21</v>
      </c>
      <c r="P27" s="114">
        <v>2</v>
      </c>
      <c r="Q27" s="10"/>
      <c r="R27" s="10"/>
    </row>
    <row r="28" spans="1:23" ht="24.95" customHeight="1">
      <c r="B28" s="640"/>
      <c r="C28" s="641"/>
      <c r="D28" s="641"/>
      <c r="E28" s="641"/>
      <c r="F28" s="641"/>
      <c r="G28" s="641"/>
      <c r="H28" s="712"/>
      <c r="I28" s="113"/>
      <c r="J28" s="114"/>
      <c r="K28" s="113"/>
      <c r="L28" s="287"/>
      <c r="M28" s="113"/>
      <c r="N28" s="114"/>
      <c r="O28" s="287"/>
      <c r="P28" s="114"/>
      <c r="Q28" s="10"/>
      <c r="R28" s="10"/>
    </row>
    <row r="29" spans="1:23" ht="24.95" customHeight="1">
      <c r="B29" s="621" t="s">
        <v>54</v>
      </c>
      <c r="C29" s="622"/>
      <c r="D29" s="622"/>
      <c r="E29" s="622"/>
      <c r="F29" s="622"/>
      <c r="G29" s="622"/>
      <c r="H29" s="713"/>
      <c r="I29" s="624" t="str">
        <f>C60</f>
        <v>A los 60 días</v>
      </c>
      <c r="J29" s="625"/>
      <c r="K29" s="624" t="str">
        <f>C60</f>
        <v>A los 60 días</v>
      </c>
      <c r="L29" s="752"/>
      <c r="M29" s="508">
        <f>E60</f>
        <v>0</v>
      </c>
      <c r="N29" s="50"/>
      <c r="O29" s="752" t="str">
        <f>C60</f>
        <v>A los 60 días</v>
      </c>
      <c r="P29" s="625"/>
      <c r="Q29" s="10"/>
      <c r="R29" s="10"/>
    </row>
    <row r="30" spans="1:23" ht="47.25" customHeight="1">
      <c r="B30" s="621"/>
      <c r="C30" s="622"/>
      <c r="D30" s="622"/>
      <c r="E30" s="622"/>
      <c r="F30" s="622"/>
      <c r="G30" s="622"/>
      <c r="H30" s="713"/>
      <c r="I30" s="106" t="s">
        <v>21</v>
      </c>
      <c r="J30" s="112">
        <f>IF(I29=$C$57,$F$57,IF(I29=$C$58,$F$58,IF(I29=$C$59,$F$59,IF(I29=$C$60,F60,0))))</f>
        <v>0</v>
      </c>
      <c r="K30" s="115" t="s">
        <v>21</v>
      </c>
      <c r="L30" s="521">
        <f t="shared" ref="L30" si="3">IF(K29=$C$57,$F$57,IF(K29=$C$58,$F$58,IF(K29=$C$59,$F$59,0)))</f>
        <v>0</v>
      </c>
      <c r="M30" s="590" t="s">
        <v>21</v>
      </c>
      <c r="N30" s="186">
        <f t="shared" ref="N30" si="4">IF(M29=$C$57,$F$57,IF(M29=$C$58,$F$58,IF(M29=$C$59,$F$59,0)))</f>
        <v>0</v>
      </c>
      <c r="O30" s="115" t="s">
        <v>21</v>
      </c>
      <c r="P30" s="116">
        <f t="shared" ref="P30" si="5">IF(O29=$C$57,$F$57,IF(O29=$C$58,$F$58,IF(O29=$C$59,$F$59,0)))</f>
        <v>0</v>
      </c>
      <c r="Q30" s="11"/>
      <c r="R30" s="11"/>
    </row>
    <row r="31" spans="1:23" ht="33.75" customHeight="1">
      <c r="B31" s="621" t="s">
        <v>56</v>
      </c>
      <c r="C31" s="622"/>
      <c r="D31" s="622"/>
      <c r="E31" s="622"/>
      <c r="F31" s="622"/>
      <c r="G31" s="622"/>
      <c r="H31" s="713"/>
      <c r="I31" s="626" t="s">
        <v>45</v>
      </c>
      <c r="J31" s="627"/>
      <c r="K31" s="626" t="s">
        <v>45</v>
      </c>
      <c r="L31" s="753"/>
      <c r="M31" s="509" t="s">
        <v>45</v>
      </c>
      <c r="N31" s="510"/>
      <c r="O31" s="753" t="s">
        <v>45</v>
      </c>
      <c r="P31" s="627"/>
      <c r="Q31" s="11"/>
      <c r="R31" s="11"/>
    </row>
    <row r="32" spans="1:23" ht="30" customHeight="1">
      <c r="B32" s="621"/>
      <c r="C32" s="622"/>
      <c r="D32" s="622"/>
      <c r="E32" s="622"/>
      <c r="F32" s="622"/>
      <c r="G32" s="622"/>
      <c r="H32" s="713"/>
      <c r="I32" s="51" t="s">
        <v>21</v>
      </c>
      <c r="J32" s="118">
        <f>IF(I31=$C$62,$F$62,0)</f>
        <v>2</v>
      </c>
      <c r="K32" s="51" t="s">
        <v>21</v>
      </c>
      <c r="L32" s="253">
        <f t="shared" ref="L32" si="6">IF(K31=$C$62,$F$62,0)</f>
        <v>2</v>
      </c>
      <c r="M32" s="540" t="s">
        <v>21</v>
      </c>
      <c r="N32" s="118">
        <f t="shared" ref="N32" si="7">IF(M31=$C$62,$F$62,0)</f>
        <v>2</v>
      </c>
      <c r="O32" s="49" t="s">
        <v>21</v>
      </c>
      <c r="P32" s="118">
        <f t="shared" ref="P32" si="8">IF(O31=$C$62,$F$62,0)</f>
        <v>2</v>
      </c>
      <c r="Q32" s="12"/>
      <c r="R32" s="12"/>
    </row>
    <row r="33" spans="2:18" ht="30" customHeight="1">
      <c r="B33" s="628" t="s">
        <v>57</v>
      </c>
      <c r="C33" s="629"/>
      <c r="D33" s="629"/>
      <c r="E33" s="629"/>
      <c r="F33" s="629"/>
      <c r="G33" s="629"/>
      <c r="H33" s="710"/>
      <c r="I33" s="634" t="str">
        <f>C65</f>
        <v>Excelente</v>
      </c>
      <c r="J33" s="635"/>
      <c r="K33" s="634" t="str">
        <f>C65</f>
        <v>Excelente</v>
      </c>
      <c r="L33" s="751"/>
      <c r="M33" s="51" t="str">
        <f>C65</f>
        <v>Excelente</v>
      </c>
      <c r="N33" s="553"/>
      <c r="O33" s="751" t="str">
        <f>C65</f>
        <v>Excelente</v>
      </c>
      <c r="P33" s="635"/>
      <c r="Q33" s="12"/>
      <c r="R33" s="12"/>
    </row>
    <row r="34" spans="2:18" ht="24.95" customHeight="1" thickBot="1">
      <c r="B34" s="630"/>
      <c r="C34" s="631"/>
      <c r="D34" s="631"/>
      <c r="E34" s="631"/>
      <c r="F34" s="631"/>
      <c r="G34" s="631"/>
      <c r="H34" s="737"/>
      <c r="I34" s="122" t="s">
        <v>21</v>
      </c>
      <c r="J34" s="123">
        <f>IF(I33=$C$65,$F$65,IF(I33=$C$66,$F$66,0))</f>
        <v>2</v>
      </c>
      <c r="K34" s="124" t="s">
        <v>21</v>
      </c>
      <c r="L34" s="597">
        <f>IF(K33=$C$65,$F$65,IF(K33=$C$66,$F$66,0))</f>
        <v>2</v>
      </c>
      <c r="M34" s="541" t="s">
        <v>21</v>
      </c>
      <c r="N34" s="542">
        <f>IF(M33=$C$65,$F$65,IF(M33=$C$66,$F$66,0))</f>
        <v>2</v>
      </c>
      <c r="O34" s="124" t="s">
        <v>21</v>
      </c>
      <c r="P34" s="125">
        <f>IF(O33=$C$65,$F$65,IF(O33=$C$66,$F$66,0))</f>
        <v>2</v>
      </c>
      <c r="Q34" s="12"/>
      <c r="R34" s="12"/>
    </row>
    <row r="35" spans="2:18" ht="24.95" customHeight="1" thickBot="1">
      <c r="B35" s="119"/>
      <c r="C35" s="120"/>
      <c r="D35" s="120"/>
      <c r="E35" s="120"/>
      <c r="F35" s="120"/>
      <c r="G35" s="120"/>
      <c r="H35" s="121"/>
      <c r="I35" s="133"/>
      <c r="J35" s="134"/>
      <c r="K35" s="135"/>
      <c r="L35" s="257"/>
      <c r="M35" s="543"/>
      <c r="N35" s="134"/>
      <c r="O35" s="135"/>
      <c r="P35" s="136"/>
      <c r="Q35" s="12"/>
      <c r="R35" s="12"/>
    </row>
    <row r="36" spans="2:18" ht="24.95" customHeight="1" thickBot="1">
      <c r="B36" s="119"/>
      <c r="C36" s="120"/>
      <c r="D36" s="120"/>
      <c r="E36" s="120"/>
      <c r="F36" s="120"/>
      <c r="G36" s="120"/>
      <c r="H36" s="121"/>
      <c r="I36" s="133"/>
      <c r="J36" s="134"/>
      <c r="K36" s="135"/>
      <c r="L36" s="257"/>
      <c r="M36" s="544"/>
      <c r="N36" s="527"/>
      <c r="O36" s="600"/>
      <c r="P36" s="595"/>
      <c r="Q36" s="12"/>
      <c r="R36" s="12"/>
    </row>
    <row r="37" spans="2:18" ht="24.95" customHeight="1" thickBot="1">
      <c r="B37" s="636" t="s">
        <v>62</v>
      </c>
      <c r="C37" s="637"/>
      <c r="D37" s="637"/>
      <c r="E37" s="637"/>
      <c r="F37" s="637"/>
      <c r="G37" s="637"/>
      <c r="H37" s="720"/>
      <c r="I37" s="127"/>
      <c r="J37" s="131">
        <f>J23+J25+J27+J30+J32+J34</f>
        <v>6</v>
      </c>
      <c r="K37" s="129"/>
      <c r="L37" s="127">
        <f>L23+L25+L27+L30+L32+L34</f>
        <v>8</v>
      </c>
      <c r="M37" s="127"/>
      <c r="N37" s="604">
        <f>N23+N25+N27+N30+N32+N34</f>
        <v>8</v>
      </c>
      <c r="O37" s="130"/>
      <c r="P37" s="142">
        <f>P23+P25+P27+P30+P32+P34</f>
        <v>10</v>
      </c>
      <c r="Q37" s="6"/>
      <c r="R37" s="6"/>
    </row>
    <row r="38" spans="2:18" ht="24.95" customHeight="1" thickBot="1">
      <c r="B38" s="620" t="s">
        <v>244</v>
      </c>
      <c r="C38" s="620"/>
      <c r="D38" s="620"/>
      <c r="E38" s="620"/>
      <c r="F38" s="620"/>
      <c r="G38" s="620"/>
      <c r="H38" s="620"/>
      <c r="I38" s="131"/>
      <c r="J38" s="128">
        <v>10</v>
      </c>
      <c r="K38" s="131"/>
      <c r="L38" s="128">
        <v>10</v>
      </c>
      <c r="M38" s="605"/>
      <c r="N38" s="606">
        <v>10</v>
      </c>
      <c r="O38" s="601"/>
      <c r="P38" s="140">
        <v>6</v>
      </c>
      <c r="Q38" s="6"/>
      <c r="R38" s="348"/>
    </row>
    <row r="39" spans="2:18" ht="24.95" customHeight="1" thickBot="1">
      <c r="B39" s="616" t="s">
        <v>63</v>
      </c>
      <c r="C39" s="616"/>
      <c r="D39" s="616"/>
      <c r="E39" s="616"/>
      <c r="F39" s="616"/>
      <c r="G39" s="616"/>
      <c r="H39" s="616"/>
      <c r="I39" s="107"/>
      <c r="J39" s="145">
        <f>J37+J38</f>
        <v>16</v>
      </c>
      <c r="K39" s="24"/>
      <c r="L39" s="145">
        <f>L37+L38</f>
        <v>18</v>
      </c>
      <c r="M39" s="296"/>
      <c r="N39" s="145">
        <f>N37+N38</f>
        <v>18</v>
      </c>
      <c r="O39" s="146"/>
      <c r="P39" s="144">
        <f>P37+P38</f>
        <v>16</v>
      </c>
      <c r="Q39" s="6"/>
      <c r="R39" s="265"/>
    </row>
    <row r="40" spans="2:18" ht="24.95" customHeight="1">
      <c r="B40" s="69"/>
      <c r="C40" s="70" t="s">
        <v>24</v>
      </c>
      <c r="D40" s="71"/>
      <c r="E40" s="70" t="s">
        <v>25</v>
      </c>
      <c r="F40" s="71"/>
      <c r="G40" s="69"/>
      <c r="H40" s="69"/>
      <c r="I40" s="72" t="str">
        <f>IF($H$17&gt;(3000*$I$45),"COORDINADOR DE PROYECTOS","")</f>
        <v>COORDINADOR DE PROYECTOS</v>
      </c>
      <c r="J40" s="69"/>
      <c r="K40" s="69"/>
      <c r="L40" s="73" t="str">
        <f>IF($H$17&gt;(7500*$I$45),"GERENTE TÉCNICO","")</f>
        <v>GERENTE TÉCNICO</v>
      </c>
      <c r="M40" s="73"/>
      <c r="N40" s="73"/>
      <c r="Q40" s="45"/>
      <c r="R40" s="347"/>
    </row>
    <row r="41" spans="2:18" ht="24.95" customHeight="1">
      <c r="B41" s="26"/>
      <c r="C41" s="22"/>
      <c r="D41" s="26"/>
      <c r="E41" s="48" t="s">
        <v>4</v>
      </c>
      <c r="F41" s="26"/>
      <c r="G41" s="26"/>
      <c r="H41" s="26"/>
      <c r="I41" s="26" t="str">
        <f>IF(I40&lt;&gt;"","FECHA:","")</f>
        <v>FECHA:</v>
      </c>
      <c r="J41" s="26"/>
      <c r="K41" s="26"/>
      <c r="L41" s="48" t="str">
        <f>IF(L40&lt;&gt;"","FECHA:","")</f>
        <v>FECHA:</v>
      </c>
      <c r="M41" s="48"/>
      <c r="N41" s="48"/>
      <c r="P41" s="73"/>
      <c r="Q41" s="46"/>
      <c r="R41" s="46"/>
    </row>
    <row r="42" spans="2:18" ht="24.95" customHeight="1">
      <c r="B42" s="47"/>
      <c r="C42" s="47"/>
      <c r="H42" s="104"/>
      <c r="L42" s="100"/>
      <c r="M42" s="100"/>
      <c r="N42" s="100"/>
    </row>
    <row r="43" spans="2:18" ht="24.95" customHeight="1">
      <c r="O43" s="91"/>
    </row>
    <row r="44" spans="2:18" ht="24.95" customHeight="1">
      <c r="C44" s="617" t="s">
        <v>26</v>
      </c>
      <c r="D44" s="618"/>
      <c r="E44" s="619"/>
      <c r="F44" s="13" t="s">
        <v>27</v>
      </c>
      <c r="H44" s="65" t="s">
        <v>28</v>
      </c>
      <c r="I44" s="66">
        <f ca="1">TODAY()</f>
        <v>46233</v>
      </c>
      <c r="J44" s="6"/>
      <c r="K44" s="14"/>
      <c r="L44"/>
      <c r="M44"/>
      <c r="N44"/>
      <c r="O44"/>
      <c r="P44"/>
      <c r="Q44" s="6"/>
      <c r="R44" s="6"/>
    </row>
    <row r="45" spans="2:18" ht="24.95" customHeight="1">
      <c r="C45" s="610" t="s">
        <v>29</v>
      </c>
      <c r="D45" s="611"/>
      <c r="E45" s="611"/>
      <c r="F45" s="52"/>
      <c r="H45" s="67" t="s">
        <v>30</v>
      </c>
      <c r="I45" s="68"/>
    </row>
    <row r="46" spans="2:18" ht="24.95" customHeight="1">
      <c r="B46" s="7"/>
      <c r="C46" s="53" t="s">
        <v>31</v>
      </c>
      <c r="D46" s="54"/>
      <c r="E46" s="55"/>
      <c r="F46" s="56">
        <v>2</v>
      </c>
    </row>
    <row r="47" spans="2:18" ht="24.95" customHeight="1">
      <c r="B47" s="7"/>
      <c r="C47" s="57" t="s">
        <v>32</v>
      </c>
      <c r="D47" s="58"/>
      <c r="E47" s="59"/>
      <c r="F47" s="60">
        <v>0</v>
      </c>
      <c r="H47" s="15"/>
      <c r="I47" s="80"/>
      <c r="J47" s="79"/>
    </row>
    <row r="48" spans="2:18" ht="24.95" customHeight="1">
      <c r="C48" s="610" t="s">
        <v>33</v>
      </c>
      <c r="D48" s="611"/>
      <c r="E48" s="611"/>
      <c r="F48" s="52"/>
      <c r="I48" s="80"/>
      <c r="J48" s="79"/>
    </row>
    <row r="49" spans="1:8" ht="24.95" customHeight="1">
      <c r="B49" s="7"/>
      <c r="C49" s="53" t="s">
        <v>34</v>
      </c>
      <c r="D49" s="54"/>
      <c r="E49" s="55"/>
      <c r="F49" s="56">
        <v>2</v>
      </c>
    </row>
    <row r="50" spans="1:8" ht="24.95" customHeight="1">
      <c r="B50" s="7"/>
      <c r="C50" s="57" t="s">
        <v>35</v>
      </c>
      <c r="D50" s="58"/>
      <c r="E50" s="59"/>
      <c r="F50" s="60">
        <v>0</v>
      </c>
    </row>
    <row r="51" spans="1:8" ht="24.95" customHeight="1">
      <c r="A51" s="6"/>
      <c r="C51" s="610" t="s">
        <v>36</v>
      </c>
      <c r="D51" s="611"/>
      <c r="E51" s="611"/>
      <c r="F51" s="52"/>
    </row>
    <row r="52" spans="1:8" ht="24.95" customHeight="1">
      <c r="C52" s="57" t="s">
        <v>37</v>
      </c>
      <c r="D52" s="58"/>
      <c r="E52" s="59"/>
      <c r="F52" s="60">
        <v>3</v>
      </c>
      <c r="H52" s="6"/>
    </row>
    <row r="53" spans="1:8" ht="24.95" customHeight="1">
      <c r="C53" s="57" t="s">
        <v>38</v>
      </c>
      <c r="D53" s="58"/>
      <c r="E53" s="59"/>
      <c r="F53" s="60">
        <v>2</v>
      </c>
      <c r="H53" s="6"/>
    </row>
    <row r="54" spans="1:8" ht="24.95" customHeight="1">
      <c r="C54" s="57" t="s">
        <v>39</v>
      </c>
      <c r="D54" s="58"/>
      <c r="E54" s="59"/>
      <c r="F54" s="60">
        <v>1</v>
      </c>
      <c r="H54" s="6"/>
    </row>
    <row r="55" spans="1:8" ht="24.95" customHeight="1">
      <c r="C55" s="57" t="s">
        <v>73</v>
      </c>
      <c r="D55" s="58"/>
      <c r="E55" s="59"/>
      <c r="F55" s="60">
        <v>0</v>
      </c>
      <c r="H55" s="6"/>
    </row>
    <row r="56" spans="1:8" ht="24.95" customHeight="1">
      <c r="C56" s="610" t="s">
        <v>40</v>
      </c>
      <c r="D56" s="611"/>
      <c r="E56" s="611"/>
      <c r="F56" s="52"/>
    </row>
    <row r="57" spans="1:8" ht="24.95" customHeight="1">
      <c r="C57" s="61" t="s">
        <v>41</v>
      </c>
      <c r="D57" s="58"/>
      <c r="E57" s="59"/>
      <c r="F57" s="60">
        <v>3</v>
      </c>
    </row>
    <row r="58" spans="1:8" ht="24.95" customHeight="1">
      <c r="C58" s="61" t="s">
        <v>42</v>
      </c>
      <c r="D58" s="58"/>
      <c r="E58" s="59"/>
      <c r="F58" s="60">
        <v>2</v>
      </c>
    </row>
    <row r="59" spans="1:8" ht="24.95" customHeight="1">
      <c r="C59" s="61" t="s">
        <v>43</v>
      </c>
      <c r="D59" s="58"/>
      <c r="E59" s="59"/>
      <c r="F59" s="60">
        <v>1</v>
      </c>
    </row>
    <row r="60" spans="1:8" ht="24.95" customHeight="1">
      <c r="C60" s="61" t="s">
        <v>55</v>
      </c>
      <c r="D60" s="58"/>
      <c r="E60" s="58"/>
      <c r="F60" s="52">
        <v>0</v>
      </c>
    </row>
    <row r="61" spans="1:8" ht="24.95" customHeight="1">
      <c r="C61" s="610" t="s">
        <v>44</v>
      </c>
      <c r="D61" s="611"/>
      <c r="E61" s="611"/>
      <c r="F61" s="52"/>
    </row>
    <row r="62" spans="1:8" ht="24.95" customHeight="1">
      <c r="C62" s="57" t="s">
        <v>45</v>
      </c>
      <c r="D62" s="58"/>
      <c r="E62" s="59"/>
      <c r="F62" s="60">
        <v>2</v>
      </c>
    </row>
    <row r="63" spans="1:8" ht="24.95" customHeight="1">
      <c r="C63" s="57" t="s">
        <v>46</v>
      </c>
      <c r="D63" s="58"/>
      <c r="E63" s="59"/>
      <c r="F63" s="60">
        <v>0</v>
      </c>
    </row>
    <row r="64" spans="1:8" ht="24.95" customHeight="1">
      <c r="C64" s="610" t="s">
        <v>58</v>
      </c>
      <c r="D64" s="611"/>
      <c r="E64" s="611"/>
      <c r="F64" s="612"/>
    </row>
    <row r="65" spans="2:8" ht="24.95" customHeight="1">
      <c r="C65" s="57" t="s">
        <v>59</v>
      </c>
      <c r="D65" s="58"/>
      <c r="E65" s="59"/>
      <c r="F65" s="60">
        <v>2</v>
      </c>
    </row>
    <row r="66" spans="2:8" ht="24.95" customHeight="1">
      <c r="C66" s="57" t="s">
        <v>60</v>
      </c>
      <c r="D66" s="58"/>
      <c r="E66" s="59"/>
      <c r="F66" s="60">
        <v>0</v>
      </c>
    </row>
    <row r="67" spans="2:8" ht="24.95" customHeight="1">
      <c r="C67" s="613" t="s">
        <v>47</v>
      </c>
      <c r="D67" s="614"/>
      <c r="E67" s="615"/>
      <c r="F67" s="62" t="s">
        <v>48</v>
      </c>
    </row>
    <row r="68" spans="2:8" ht="24.95" customHeight="1">
      <c r="B68" s="6"/>
      <c r="C68" s="63"/>
      <c r="D68" s="63"/>
      <c r="E68" s="63" t="s">
        <v>15</v>
      </c>
      <c r="F68" s="64">
        <f>10+F46+F49+F52+F57+F62+F65</f>
        <v>24</v>
      </c>
      <c r="H68" s="6"/>
    </row>
    <row r="69" spans="2:8" ht="20.100000000000001" customHeight="1"/>
  </sheetData>
  <mergeCells count="80">
    <mergeCell ref="M16:N16"/>
    <mergeCell ref="M18:N18"/>
    <mergeCell ref="M21:N21"/>
    <mergeCell ref="M22:N22"/>
    <mergeCell ref="M26:N26"/>
    <mergeCell ref="M17:N17"/>
    <mergeCell ref="C61:E61"/>
    <mergeCell ref="C64:F64"/>
    <mergeCell ref="C67:E67"/>
    <mergeCell ref="B39:H39"/>
    <mergeCell ref="C44:E44"/>
    <mergeCell ref="C45:E45"/>
    <mergeCell ref="C48:E48"/>
    <mergeCell ref="C51:E51"/>
    <mergeCell ref="C56:E56"/>
    <mergeCell ref="B38:H38"/>
    <mergeCell ref="B29:H30"/>
    <mergeCell ref="I29:J29"/>
    <mergeCell ref="K29:L29"/>
    <mergeCell ref="O29:P29"/>
    <mergeCell ref="B31:H32"/>
    <mergeCell ref="I31:J31"/>
    <mergeCell ref="K31:L31"/>
    <mergeCell ref="O31:P31"/>
    <mergeCell ref="B33:H34"/>
    <mergeCell ref="I33:J33"/>
    <mergeCell ref="K33:L33"/>
    <mergeCell ref="O33:P33"/>
    <mergeCell ref="B37:H37"/>
    <mergeCell ref="B26:H28"/>
    <mergeCell ref="I26:J26"/>
    <mergeCell ref="K26:L26"/>
    <mergeCell ref="O26:P26"/>
    <mergeCell ref="O18:P18"/>
    <mergeCell ref="B20:H20"/>
    <mergeCell ref="B21:H21"/>
    <mergeCell ref="I21:J21"/>
    <mergeCell ref="K21:L21"/>
    <mergeCell ref="O21:P21"/>
    <mergeCell ref="B22:H23"/>
    <mergeCell ref="I22:J22"/>
    <mergeCell ref="K22:L22"/>
    <mergeCell ref="O22:P22"/>
    <mergeCell ref="B24:H25"/>
    <mergeCell ref="A15:A16"/>
    <mergeCell ref="B15:G15"/>
    <mergeCell ref="B16:G16"/>
    <mergeCell ref="K16:L16"/>
    <mergeCell ref="A17:A20"/>
    <mergeCell ref="B17:G17"/>
    <mergeCell ref="I17:J17"/>
    <mergeCell ref="B18:H19"/>
    <mergeCell ref="I18:J18"/>
    <mergeCell ref="K18:L18"/>
    <mergeCell ref="I16:J16"/>
    <mergeCell ref="K17:L17"/>
    <mergeCell ref="C8:D8"/>
    <mergeCell ref="T8:U8"/>
    <mergeCell ref="V8:W8"/>
    <mergeCell ref="A9:A14"/>
    <mergeCell ref="C9:D9"/>
    <mergeCell ref="C10:D10"/>
    <mergeCell ref="C11:D11"/>
    <mergeCell ref="C12:D12"/>
    <mergeCell ref="C13:D13"/>
    <mergeCell ref="C14:D14"/>
    <mergeCell ref="I6:W6"/>
    <mergeCell ref="B7:H7"/>
    <mergeCell ref="I7:J7"/>
    <mergeCell ref="K7:L7"/>
    <mergeCell ref="O7:P7"/>
    <mergeCell ref="S7:W7"/>
    <mergeCell ref="M7:N7"/>
    <mergeCell ref="B5:C5"/>
    <mergeCell ref="D5:G5"/>
    <mergeCell ref="A1:R1"/>
    <mergeCell ref="B3:C3"/>
    <mergeCell ref="D3:G3"/>
    <mergeCell ref="B4:C4"/>
    <mergeCell ref="D4:G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FLUJO PROVEEDORES </vt:lpstr>
      <vt:lpstr>CLOSETS</vt:lpstr>
      <vt:lpstr> COCINAS</vt:lpstr>
      <vt:lpstr>PUERTAS</vt:lpstr>
      <vt:lpstr>LAVAMANO-LAVADERO</vt:lpstr>
      <vt:lpstr>SPC FOORING</vt:lpstr>
      <vt:lpstr>BARANDAS Y PERGOLAS</vt:lpstr>
      <vt:lpstr>VIDRIO-ALUMINIO</vt:lpstr>
      <vt:lpstr>TABLILLA</vt:lpstr>
      <vt:lpstr>BANOS</vt:lpstr>
      <vt:lpstr>GRIFERIAS</vt:lpstr>
      <vt:lpstr>S FOTOVOLTAICO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Celis</cp:lastModifiedBy>
  <cp:revision/>
  <dcterms:created xsi:type="dcterms:W3CDTF">2024-08-07T19:25:43Z</dcterms:created>
  <dcterms:modified xsi:type="dcterms:W3CDTF">2026-07-30T13:01:52Z</dcterms:modified>
  <cp:category/>
  <cp:contentStatus/>
</cp:coreProperties>
</file>
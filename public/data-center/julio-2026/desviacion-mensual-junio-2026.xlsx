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bak-my.sharepoint.com/personal/f_celis_grupobak_com/Documents/Documents/ARAYA 28-04-2026/COTIZACIONES  PROYECTO ARAYA_PUNTA CANA EDIFICACIONES/Cuadros Comparativos 23-01-2026/COTIZACIONES REVISADAS/RESUMENES/ARAYA PROVEEDORES/"/>
    </mc:Choice>
  </mc:AlternateContent>
  <xr:revisionPtr revIDLastSave="1938" documentId="13_ncr:1_{B80D5004-E717-4677-B340-850A4AF26DDA}" xr6:coauthVersionLast="47" xr6:coauthVersionMax="47" xr10:uidLastSave="{97DBAB4E-BAF9-41A5-BE78-C03196D77824}"/>
  <bookViews>
    <workbookView xWindow="-120" yWindow="-120" windowWidth="29040" windowHeight="15720" activeTab="1" xr2:uid="{61855B09-CC8D-0849-B1B9-79C7DB4EA0F1}"/>
  </bookViews>
  <sheets>
    <sheet name="DETALLE PRESUPUESTO POR PARTIDA" sheetId="30" r:id="rId1"/>
    <sheet name="RESUMEN  PRESUPUESTO" sheetId="29" r:id="rId2"/>
  </sheets>
  <definedNames>
    <definedName name="Calificación">#REF!</definedName>
    <definedName name="Garantía">#REF!</definedName>
    <definedName name="Marca">#REF!</definedName>
    <definedName name="Sopor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3" i="30" l="1"/>
  <c r="G183" i="30"/>
  <c r="J179" i="30"/>
  <c r="G179" i="30"/>
  <c r="J146" i="30"/>
  <c r="G146" i="30"/>
  <c r="J128" i="30"/>
  <c r="G128" i="30"/>
  <c r="J116" i="30"/>
  <c r="G116" i="30"/>
  <c r="J107" i="30"/>
  <c r="G107" i="30"/>
  <c r="J92" i="30"/>
  <c r="G92" i="30"/>
  <c r="J83" i="30"/>
  <c r="G83" i="30"/>
  <c r="J70" i="30"/>
  <c r="G70" i="30"/>
  <c r="J68" i="30"/>
  <c r="G68" i="30"/>
  <c r="J53" i="30"/>
  <c r="G53" i="30"/>
  <c r="J49" i="30"/>
  <c r="G49" i="30"/>
  <c r="J40" i="30"/>
  <c r="G40" i="30"/>
  <c r="J25" i="30"/>
  <c r="G25" i="30"/>
  <c r="J5" i="30"/>
  <c r="G5" i="30"/>
  <c r="D28" i="29"/>
  <c r="J94" i="30"/>
  <c r="J95" i="30"/>
  <c r="J96" i="30"/>
  <c r="J97" i="30"/>
  <c r="J98" i="30"/>
  <c r="J99" i="30"/>
  <c r="J100" i="30"/>
  <c r="J101" i="30"/>
  <c r="J102" i="30"/>
  <c r="J103" i="30"/>
  <c r="J104" i="30"/>
  <c r="J105" i="30"/>
  <c r="J106" i="30"/>
  <c r="J93" i="30"/>
  <c r="AG19" i="29" l="1"/>
  <c r="AG20" i="29"/>
  <c r="AG21" i="29"/>
  <c r="AG22" i="29"/>
  <c r="AG23" i="29"/>
  <c r="AG24" i="29"/>
  <c r="AG25" i="29"/>
  <c r="C25" i="29"/>
  <c r="D25" i="29" s="1"/>
  <c r="E25" i="29" s="1"/>
  <c r="B25" i="29"/>
  <c r="C24" i="29"/>
  <c r="B24" i="29"/>
  <c r="C17" i="29"/>
  <c r="B17" i="29"/>
  <c r="C23" i="29"/>
  <c r="D23" i="29" s="1"/>
  <c r="B23" i="29"/>
  <c r="B22" i="29"/>
  <c r="B21" i="29"/>
  <c r="B20" i="29"/>
  <c r="C19" i="29"/>
  <c r="B19" i="29"/>
  <c r="B18" i="29"/>
  <c r="Q100" i="30"/>
  <c r="P100" i="30"/>
  <c r="P101" i="30"/>
  <c r="Q99" i="30"/>
  <c r="P99" i="30"/>
  <c r="Q98" i="30"/>
  <c r="P98" i="30"/>
  <c r="Q97" i="30"/>
  <c r="P97" i="30"/>
  <c r="Q96" i="30"/>
  <c r="C22" i="29" s="1"/>
  <c r="D22" i="29" s="1"/>
  <c r="P96" i="30"/>
  <c r="Q95" i="30"/>
  <c r="C21" i="29" s="1"/>
  <c r="P95" i="30"/>
  <c r="Q94" i="30"/>
  <c r="C20" i="29" s="1"/>
  <c r="D20" i="29" s="1"/>
  <c r="P94" i="30"/>
  <c r="Q93" i="30"/>
  <c r="P93" i="30"/>
  <c r="D24" i="29" l="1"/>
  <c r="E24" i="29" s="1"/>
  <c r="D21" i="29"/>
  <c r="D19" i="29"/>
  <c r="E19" i="29" s="1"/>
  <c r="AH21" i="29"/>
  <c r="E21" i="29"/>
  <c r="E23" i="29"/>
  <c r="AH23" i="29"/>
  <c r="AH22" i="29"/>
  <c r="E22" i="29"/>
  <c r="E20" i="29"/>
  <c r="AH20" i="29"/>
  <c r="AH25" i="29"/>
  <c r="AH24" i="29"/>
  <c r="AH19" i="29"/>
  <c r="Q92" i="30"/>
  <c r="P92" i="30"/>
  <c r="C18" i="29" l="1"/>
  <c r="Q101" i="30"/>
  <c r="C11" i="29"/>
  <c r="B11" i="29"/>
  <c r="C10" i="29"/>
  <c r="C28" i="29" s="1"/>
  <c r="B10" i="29"/>
  <c r="R44" i="30"/>
  <c r="Q44" i="30"/>
  <c r="R41" i="30"/>
  <c r="Q41" i="30"/>
  <c r="R42" i="30"/>
  <c r="Q42" i="30"/>
  <c r="AG7" i="29"/>
  <c r="AG8" i="29"/>
  <c r="AG9" i="29"/>
  <c r="AG10" i="29"/>
  <c r="AG12" i="29"/>
  <c r="AG13" i="29"/>
  <c r="AG14" i="29"/>
  <c r="AG15" i="29"/>
  <c r="AG16" i="29"/>
  <c r="AG18" i="29"/>
  <c r="AG26" i="29"/>
  <c r="AG27" i="29"/>
  <c r="AG6" i="29"/>
  <c r="AG5" i="29"/>
  <c r="AG4" i="29"/>
  <c r="K182" i="30"/>
  <c r="K181" i="30"/>
  <c r="K180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7" i="30"/>
  <c r="K126" i="30"/>
  <c r="K125" i="30"/>
  <c r="K124" i="30"/>
  <c r="K123" i="30"/>
  <c r="K122" i="30"/>
  <c r="K121" i="30"/>
  <c r="K120" i="30"/>
  <c r="K119" i="30"/>
  <c r="K118" i="30"/>
  <c r="K117" i="30"/>
  <c r="K115" i="30"/>
  <c r="K114" i="30"/>
  <c r="K113" i="30"/>
  <c r="K112" i="30"/>
  <c r="K111" i="30"/>
  <c r="K110" i="30"/>
  <c r="K109" i="30"/>
  <c r="K108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1" i="30"/>
  <c r="K90" i="30"/>
  <c r="K89" i="30"/>
  <c r="K88" i="30"/>
  <c r="K87" i="30"/>
  <c r="K86" i="30"/>
  <c r="K85" i="30"/>
  <c r="K84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69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2" i="30"/>
  <c r="K51" i="30"/>
  <c r="K50" i="30"/>
  <c r="K48" i="30"/>
  <c r="K47" i="30"/>
  <c r="K46" i="30"/>
  <c r="K45" i="30"/>
  <c r="K44" i="30"/>
  <c r="K43" i="30"/>
  <c r="K42" i="30"/>
  <c r="K41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K6" i="30"/>
  <c r="D27" i="29"/>
  <c r="D26" i="29"/>
  <c r="E26" i="29" s="1"/>
  <c r="D18" i="29"/>
  <c r="E18" i="29" s="1"/>
  <c r="D16" i="29"/>
  <c r="E16" i="29" s="1"/>
  <c r="D15" i="29"/>
  <c r="E15" i="29" s="1"/>
  <c r="D14" i="29"/>
  <c r="E14" i="29" s="1"/>
  <c r="D13" i="29"/>
  <c r="E13" i="29" s="1"/>
  <c r="D12" i="29"/>
  <c r="E12" i="29" s="1"/>
  <c r="D9" i="29"/>
  <c r="E9" i="29" s="1"/>
  <c r="D8" i="29"/>
  <c r="E8" i="29" s="1"/>
  <c r="D7" i="29"/>
  <c r="E7" i="29" s="1"/>
  <c r="D6" i="29"/>
  <c r="D5" i="29"/>
  <c r="E5" i="29" s="1"/>
  <c r="D4" i="29"/>
  <c r="C31" i="29" l="1"/>
  <c r="C32" i="29"/>
  <c r="B28" i="29"/>
  <c r="B31" i="29" s="1"/>
  <c r="D10" i="29"/>
  <c r="AH10" i="29" s="1"/>
  <c r="D11" i="29"/>
  <c r="E11" i="29" s="1"/>
  <c r="AH15" i="29"/>
  <c r="AH6" i="29"/>
  <c r="AH4" i="29"/>
  <c r="E6" i="29"/>
  <c r="AH27" i="29"/>
  <c r="AH14" i="29"/>
  <c r="AH5" i="29"/>
  <c r="AH16" i="29"/>
  <c r="AH7" i="29"/>
  <c r="E10" i="29"/>
  <c r="E4" i="29"/>
  <c r="AH13" i="29"/>
  <c r="E27" i="29"/>
  <c r="AH12" i="29"/>
  <c r="AH9" i="29"/>
  <c r="AH26" i="29"/>
  <c r="AH18" i="29"/>
  <c r="AH8" i="29"/>
  <c r="D31" i="29" l="1"/>
  <c r="E31" i="29" s="1"/>
  <c r="B32" i="29"/>
  <c r="D32" i="29" s="1"/>
  <c r="E32" i="29" s="1"/>
  <c r="E28" i="29"/>
  <c r="AH28" i="29"/>
  <c r="AH29" i="29" s="1"/>
</calcChain>
</file>

<file path=xl/sharedStrings.xml><?xml version="1.0" encoding="utf-8"?>
<sst xmlns="http://schemas.openxmlformats.org/spreadsheetml/2006/main" count="689" uniqueCount="496">
  <si>
    <t>TOTAL</t>
  </si>
  <si>
    <t>DIFERENCIA</t>
  </si>
  <si>
    <t>UND</t>
  </si>
  <si>
    <t>m2</t>
  </si>
  <si>
    <t>ML</t>
  </si>
  <si>
    <t>SUMINISTRO, TRANSPORTE Y COLOCACION DE MUEBLES DE COCINA.</t>
  </si>
  <si>
    <t>SUMINISTRO, TRANSPORTE Y COLOCACION DE TOPE DE COCINA.</t>
  </si>
  <si>
    <t>SUMINISTRO, TRANSPORTE Y COLOCACION DE CERAMICA EN PISO DE BAÑO DUCHA.</t>
  </si>
  <si>
    <t>M2</t>
  </si>
  <si>
    <t>SUMINISTRO, TRANSPORTE Y COLOCACION DE CERAMICA EN PARED DE BAÑO.</t>
  </si>
  <si>
    <t>CONSTRUCCION DE BARANDA DE ESCALERAS. INCLUYE FONDO Y PINTURA.</t>
  </si>
  <si>
    <t>CONSTRUCCION DE BARANDA DE BALCONES. INCLUYE FONDO Y PINTURA.</t>
  </si>
  <si>
    <t>TABLILLA</t>
  </si>
  <si>
    <t>PIEZAS SANITARIAS</t>
  </si>
  <si>
    <t>CAPÍTULO</t>
  </si>
  <si>
    <t>PRESUPUESTO ORIGINAL</t>
  </si>
  <si>
    <t>PRESUPUESTO ACTUALIZADO</t>
  </si>
  <si>
    <t>% DESVIACIÓN</t>
  </si>
  <si>
    <t>OBSERVACIÓN</t>
  </si>
  <si>
    <t>CARPINTERIA</t>
  </si>
  <si>
    <t>Aumento por mayor cantidad/precio</t>
  </si>
  <si>
    <t>INFRAESTRUCTURA</t>
  </si>
  <si>
    <t>Aumento hormigón (Bluewave) y acero</t>
  </si>
  <si>
    <t>HERRERIA</t>
  </si>
  <si>
    <t>Variación menor</t>
  </si>
  <si>
    <t>SUPERESTRUCTURA</t>
  </si>
  <si>
    <t>Aumento hormigón (Bluewave)</t>
  </si>
  <si>
    <t>ALBANILERIA</t>
  </si>
  <si>
    <t>INSTALACIONES ELECTRICAS</t>
  </si>
  <si>
    <t>Leve disminución</t>
  </si>
  <si>
    <t>INSTALACIONES TELECOMUNICACIONES</t>
  </si>
  <si>
    <t>Sin variación</t>
  </si>
  <si>
    <t>INSTALACIONES SANITARIAS</t>
  </si>
  <si>
    <t>INSTALACIONES DE INCENDIO</t>
  </si>
  <si>
    <t>PINTURA</t>
  </si>
  <si>
    <t>LIMPIEZA</t>
  </si>
  <si>
    <t>REVESTIMIENTO</t>
  </si>
  <si>
    <t>Ahorro respecto al original</t>
  </si>
  <si>
    <t>MISCELANEOS</t>
  </si>
  <si>
    <t>VIDRIO Y ALUMINIO</t>
  </si>
  <si>
    <t>TOTALES</t>
  </si>
  <si>
    <t>M2 x Apartamento en Pesos</t>
  </si>
  <si>
    <t>Total x 77 Edificios</t>
  </si>
  <si>
    <t>PUNTOS CLAVE</t>
  </si>
  <si>
    <t>• El costo total subió apenas 0.7% ($138,178 adicionales), un ajuste contenido dado el volumen del presupuesto (~$20 millones).</t>
  </si>
  <si>
    <t>• Mayores incrementos: Carpintería (+17.1%), Piezas Sanitarias (+12.7%) e Infraestructura (+6.4%), principalmente por aumento en cantidades y precio del hormigón (empresa Bluewave).</t>
  </si>
  <si>
    <t>• Mayores ahorros: Misceláneos (-11.8%), Vidrio y Aluminio (-10.7%) y Revestimiento (-8.7%), que compensan buena parte de las alzas.</t>
  </si>
  <si>
    <t>• 6 capítulos (Telecomunicaciones, Sanitarias, Incendio, Pintura, Limpieza, y parcialmente Herrería) no tuvieron cambios entre el presupuesto original y actualizado.</t>
  </si>
  <si>
    <t>• Escalado a 77 edificios, la diferencia total equivale a aprox. +$10.6 millones, un ajuste relevante a nivel de proyecto aunque el impacto por edificio sea pequeño.</t>
  </si>
  <si>
    <t>COMPARATIVO PRESUPUESTO EDIFICIO ORIGINAL VS PRECIOS ACTUALIZADO</t>
  </si>
  <si>
    <t>Sin variación , pintura buen precio puede disminuir</t>
  </si>
  <si>
    <t>Sin variación, materiales buen precio puede disminuir</t>
  </si>
  <si>
    <t>Se resaltan en amarillo las partidas con observaciones registradas sobre el cambio entre el presupuesto original y el actualizado.</t>
  </si>
  <si>
    <t>Nº</t>
  </si>
  <si>
    <t>Código</t>
  </si>
  <si>
    <t>Descripción de Partida</t>
  </si>
  <si>
    <t>Unidad</t>
  </si>
  <si>
    <t>Cant. Original</t>
  </si>
  <si>
    <t>P.U. Original</t>
  </si>
  <si>
    <t>Total Original</t>
  </si>
  <si>
    <t>Cant. Actualizada</t>
  </si>
  <si>
    <t>P.U. Actualizada</t>
  </si>
  <si>
    <t>Total Actualizado</t>
  </si>
  <si>
    <t>Diferencia ($)</t>
  </si>
  <si>
    <t>Observación</t>
  </si>
  <si>
    <t>AEDIF01</t>
  </si>
  <si>
    <t>REPLANTEO TOPOGRAFICO DE LOSA (COLOCACION DE PUNTOS PARA NIVELES DE LOSA Y DEMARCACIÓN DE RIOSTRA).</t>
  </si>
  <si>
    <t>OPREL001</t>
  </si>
  <si>
    <t>REPLANTEO GENERAL DE LOSA (COLOCACION DE PUNTOS PARA NIVELES DE LOSA Y DEMARCACIÓN DE RIOSTRA).</t>
  </si>
  <si>
    <t>AEDIF36</t>
  </si>
  <si>
    <t>NIVELACION Y COMPACTACION CON MATERIAL DE RELLENO.</t>
  </si>
  <si>
    <t>M3</t>
  </si>
  <si>
    <t>PERFI001</t>
  </si>
  <si>
    <t>PREPARACION SUPERFICIE PARA PLATEA, (PERFILAMIENTO Y ACONDICIONAMIENTO DE LOSA).</t>
  </si>
  <si>
    <t>OPTCR003</t>
  </si>
  <si>
    <t>BOTE DE ESCOMBROS.</t>
  </si>
  <si>
    <t>OPREL003</t>
  </si>
  <si>
    <t>FUMIGACION DE CIMIENTOS.</t>
  </si>
  <si>
    <t>INFTCR05</t>
  </si>
  <si>
    <t>EXCAVACION EN ROCA CON EQUIPO LIVIANO EN INFRAESTRUCTURA, PARA LA CONSTRUCCION DE ZAPATAS, RIOSTRAS Y MUROS.</t>
  </si>
  <si>
    <t>INFTCR07</t>
  </si>
  <si>
    <t>EXCAVACION EN ROCA CON EQUIPO LIVIANO EN INFRAESTRUCTURA, PARA LA CONSTRUCCION DE SOTERRADO DE TUBERIAS.</t>
  </si>
  <si>
    <t>MTTCR001</t>
  </si>
  <si>
    <t>BOTE DE MATERIAL DE EXCAVACION (30%  DE ESPONJAMIENTO). INCLUYE CARGA A MANO.</t>
  </si>
  <si>
    <t>MTTCR002</t>
  </si>
  <si>
    <t>RELLENO O "BEDDING" CON ARENA DE TUBERIAS ELECTRICAS E HIDROSANITARIAS.</t>
  </si>
  <si>
    <t>RELLE01</t>
  </si>
  <si>
    <t>SUMINISTRO Y ACARREO DE MATERIAL DE RELLENO</t>
  </si>
  <si>
    <t>INF012</t>
  </si>
  <si>
    <t>SUMINISTRO, TRANSPORTE Y COLOCACION DE ACERO DE REFUERZO EN INFRAESTRUCTURA, VARILLA DE DIAMETRO D= 3/8" PARA REFUERZO EN ZAPATAS, RIOSTRAS Y PLATEA.</t>
  </si>
  <si>
    <t>QQ</t>
  </si>
  <si>
    <t xml:space="preserve">AUMENTO MINIMO EN CANTIDAD </t>
  </si>
  <si>
    <t>AEDIF11</t>
  </si>
  <si>
    <t>SUMINISTRO, TRANSPORTE Y COLOCACION DE ACERO DE REFUERZO EN INFRAESTRUCTURA, VARILLA DE DIAMETRO D= 1/2" PARA REFUERZO EN ZAPATAS, RIOSTRAS Y PLATEA.</t>
  </si>
  <si>
    <t xml:space="preserve">AUMENTO  EN CANTIDAD </t>
  </si>
  <si>
    <t>INF022</t>
  </si>
  <si>
    <t>SUMINISTRO, TRANSPORTE Y COLOCACION DE ACERO DE REFUERZO EN INFRAESTRUCTURA, VARILLA DE DIAMETRO D= 5/8" PARA REFUERZO EN ZAPATA, RIOSTRAS Y PLATEA.</t>
  </si>
  <si>
    <t>AUMENTO EN  CANTIDAD Y PRECIO DE VARILLA 5/8</t>
  </si>
  <si>
    <t>INF023</t>
  </si>
  <si>
    <t>SUMINISTRO, TRANSPORTE Y COLOCACION DE ACERO DE REFUERZO EN INFRAESTRUCTURA, VARILLA DE DIAMETRO D= 3/4" PARA REFUERZO EN ZAPATA, RIOSTRAS Y PLATEA.</t>
  </si>
  <si>
    <t>AUMENTO EN  CANTIDAD Y PRECIO DE VARILLA 3/4</t>
  </si>
  <si>
    <t>INF014</t>
  </si>
  <si>
    <t>SUMINISTRO, TRANSPORTE Y COLOCACION DE ACERO DE REFUERZO EN INFRAESTRUCTURA, MALLA D2.3 x 2.3 - 100x100 PARA REFUERZO EN PLATEA.</t>
  </si>
  <si>
    <t>DISMINUCION  EN PRECIO DE MALLA D.23.X D2.3</t>
  </si>
  <si>
    <t>MADERA 6</t>
  </si>
  <si>
    <t>SUMINISTRO, TRANSPORTE Y COLOCACION DE ENCOFRADO MADERA, TIPO RECTO, ACABADO CORRIENTE EN LOSA DE FUNDACION, E=15CMS.</t>
  </si>
  <si>
    <t>INF004</t>
  </si>
  <si>
    <t>SUMINISTRO, TRANSPORTE Y COLOCACION DE HOMIGON DE LIMPIEZA EN PLATEA.</t>
  </si>
  <si>
    <t>DISMINUCION EN CANTIDAD Y AUMENTO EN EL PRECIO DEL HORMIGON PRECIO UTILIZADO EMPRESA BLUEWAVE</t>
  </si>
  <si>
    <t>INF005</t>
  </si>
  <si>
    <t>SUMINISTRO, TRANSPORTE Y COLOCACION DE HORMIGON RCC28 = 210 KG/CM2, EN INFRAESTRUCTURA, PARA ACABADO CORRIENTE, EN ZAPATAS, VIGAS Y LOSAS DE FUNDACION.</t>
  </si>
  <si>
    <t>AUMENTO EN CANTIDAD Y AUMENTO EN EL PRECIO DEL HORMIGON PRECIO UTILIZADO EMPRESA BLUEWAVE</t>
  </si>
  <si>
    <t>SUP008</t>
  </si>
  <si>
    <t>SUMINISTRO, TRANSPORTE Y COLOCACION DE HORMIGON DE RCC 210 KG/CM2 A LOS 28 DIAS ACABADO CORRIENTE EN SUPERESTRUCTURA, PARA LA CONSTRUCCION DE MUROS, VIGAS, LOSA DE ENTREPISO Y OTROS.</t>
  </si>
  <si>
    <t>AUMENTO  EN CANTIDAD Y AUMENTO EN EL PRECIO DEL HORMIGON PRECIO UTILIZADO EMPRESA BLUEWAVE</t>
  </si>
  <si>
    <t>SUP010</t>
  </si>
  <si>
    <t>SUMINISTRO, TRANSPORTE Y COLOCACION DE HORMIGON DE RCC 210 KG/CM2 A LOS 28 DIAS ACABADO CORRIENTE EN SUPERESTRUCTURA, PARA LA CONSTRUCCION DE MURO, DESCANSO Y PELDAÑOS DE ESCALERA.</t>
  </si>
  <si>
    <t>SUP002</t>
  </si>
  <si>
    <t>SUMINISTRO, TRANSPORTE Y COLOCACION DE ENCOFRADO METALICO, TIPO RECTO, ACABADO CORRIENTE EN MUROS,  E=10CMS  PROLONGACION Y  ENTREPISO.</t>
  </si>
  <si>
    <t>SUP006</t>
  </si>
  <si>
    <t>SUMINISTRO, TRANSPORTE Y COLOCACION DE ENCOFRADO METALICO , TIPO RECTO, ACABADO CORRIENTE EN MURO EN ESCALERA.</t>
  </si>
  <si>
    <t>ENCFR07</t>
  </si>
  <si>
    <t>SUMNISTRO, TRANSPORTE Y COLOCACION DE ENCOFRADO DE MADERA, TIPO RECTO,  ACABADO CORRIENTE, EN DESCANSO Y PELDAÑOS EN ESCALERAS.</t>
  </si>
  <si>
    <t>BARAN23</t>
  </si>
  <si>
    <t>COLOCACION DE ANDAMIOS PARA EL ARMADO DE LA FORMALETA DE MUROS Y ENTREPISOS.</t>
  </si>
  <si>
    <t>NIVEL</t>
  </si>
  <si>
    <t>BARAN25</t>
  </si>
  <si>
    <t>COLOCACION DE ANDAMIOS PARA EL ARMADO DE MUROS EN ESCALERA.</t>
  </si>
  <si>
    <t>SUPER007</t>
  </si>
  <si>
    <t>SUMINISTRO, TRANSPORTE Y COLOCACION DE ACERO DE REFUERZO EN SUPERESTRUCTURA, VARILLA DE DIAMETRO D= 3/8" PARA REFUERZO EN MURO Y LOSA DE ENTREPISO.</t>
  </si>
  <si>
    <t>NO HAY VARIACION  SIGNIFICANTE</t>
  </si>
  <si>
    <t>SUPER009</t>
  </si>
  <si>
    <t>SUMINISTRO, TRANSPORTE Y COLOCACION DE ACERO DE REFUERZO EN SUPERESTRUCTURA, VARILLA DE DIAMETRO D= 3/8" PARA REFUERZO EN VIGAS Y DINTELES.</t>
  </si>
  <si>
    <t>SUPER010</t>
  </si>
  <si>
    <t>SUMINISTRO, TRANSPORTE Y COLOCACION DE ACERO DE REFUERZO EN SUPERESTRUCTURA, VARILLA DE DIAMETRO D= 1/2" PARA REFUERZO EN VIGAS Y DINTELES.</t>
  </si>
  <si>
    <t>INF025</t>
  </si>
  <si>
    <t>SUMINISTRO, TRANSPORTE Y COLOCACION DE ACERO DE REFUERZO EN SUPERESTRUCTURA, VARILLA DE DIAMETRO D= 3/4" PARA REFUERZO EN VIGAS Y DINTELES.</t>
  </si>
  <si>
    <t>SUPER019</t>
  </si>
  <si>
    <t>SUMINISTRO, TRANSPORTE Y COLOCACION DE ACERO DE REFUERZO EN SUPERESTRUCTURA, MALLA D2.9 x 2.9 - 100x100 PARA REFUERZO EN MURO Y LOSA DE ENTREPISO.</t>
  </si>
  <si>
    <t>DISMINUCION  EN PRECIO DE MALLA D 2.9 X D 2.9</t>
  </si>
  <si>
    <t>SUPER012</t>
  </si>
  <si>
    <t>SUMINISTRO, TRANSPORTE Y COLOCACION DE ACERO DE REFUERZO EN SUPERESTRUCTURA, VARILLA DE DIAMETRO D= 3/8" PARA REFUERZO EN MURO, PELDAÑOS, VIGAS Y DESCANSO DE ESCALERAS.</t>
  </si>
  <si>
    <t>SUPER013</t>
  </si>
  <si>
    <t>SUMINISTRO, TRANSPORTE Y COLOCACION DE ACERO DE REFUERZO EN SUPERESTRUCTURA, VARILLA DE DIAMETRO D= 1/2" PARA REFUERZO EN MURO, PELDAÑOS, VIGAS Y DESCANSO DE ESCALERA.</t>
  </si>
  <si>
    <t>INSEL001</t>
  </si>
  <si>
    <t>SUMINISTRO, TRANSPORTE Y COLOCACION DE INSTALACIONES ELECTRICAS (ACOMETIDAS) EN PLATEA.</t>
  </si>
  <si>
    <t>PLATEA</t>
  </si>
  <si>
    <t>INSEL002</t>
  </si>
  <si>
    <t>SUMINISTRO, TRANSPORTE Y COLOCACION DE INSTALACIONES ELECTRICAS (TUBERIAS) EN MUROS Y LOSA DE ENTREPISO Y TECHO.</t>
  </si>
  <si>
    <t>APTO</t>
  </si>
  <si>
    <t>INSEL003</t>
  </si>
  <si>
    <t>SUMINISTRO, TRANSPORTE Y COLOCACION DE INSTALACIONES ELECTRICAS (TUBERIA) EN ZONA COMUN Y TERRAZA DEL EDIFICIO.</t>
  </si>
  <si>
    <t>EDIFICIO</t>
  </si>
  <si>
    <t>INSEL004</t>
  </si>
  <si>
    <t>SUMINISTRO, TRANSPORTE Y COLOCACION DE PIEZAS ELECTRICAS EN APARTAMENTO.</t>
  </si>
  <si>
    <t>INSEL006</t>
  </si>
  <si>
    <t>SUMINISTRO, TRANSPORTE Y COLOCACION DE PIEZAS ELECTRICAS EN AREA DE CIRCULACION  Y TERRAZAS EDIFICIO.</t>
  </si>
  <si>
    <t>INSEL011</t>
  </si>
  <si>
    <t>SUMINISTRO, TRANSPORTE Y COLOCACION DE CABLEADO ELECTRICO EN APARTAMENTO</t>
  </si>
  <si>
    <t>INESELEC</t>
  </si>
  <si>
    <t>SUMINISTRO, TRANSPORTE Y COLOCACION DE CABLEADO ELECTRICO EN PUNTO FIJO</t>
  </si>
  <si>
    <t>CABLE10</t>
  </si>
  <si>
    <t>SUMINISTRO, TRANSPORTE Y COLOCACION DE TABLERO EN APTO. INCLUYE BREAKER.</t>
  </si>
  <si>
    <t xml:space="preserve">DISMINUCION PRECIO DE CAJA DE BREAKER </t>
  </si>
  <si>
    <t>TELECOM</t>
  </si>
  <si>
    <t>SUMINISTRO, TRANSPORTE Y COLOCACION DE INSTALACIONES TELECOMUNICACIONES DE AREAS COMUNES DE EDIFICIO.</t>
  </si>
  <si>
    <t>EDIF</t>
  </si>
  <si>
    <t>TELECOM1</t>
  </si>
  <si>
    <t>SUMINISTRO, TRANSPORTE Y COLOCACION DE CAJAS DE PASO Y DISTRIBUCION DE INSTALACIONES TELECOMUNICACIONES DE AREAS COMUNES DE EDIFICIO. INCLUYE ACCESORIOS Y ELEMNTOS DE FIJACION.</t>
  </si>
  <si>
    <t>TELECOM2</t>
  </si>
  <si>
    <t>SUMINISTRO, TRANSPORTE Y COLOCACION DE INSTALACIONES DE TELECOMUNICACIONES (TUBERIAS) EN MUROS DE LOSA DE ENTREPISO Y TECHO.</t>
  </si>
  <si>
    <t>INSAN001</t>
  </si>
  <si>
    <t>SUMINISTRO, TRANSPORTE Y COLOCACION DE INSTALACIONES DE AGUA FRIA EN LOSA DE PISO Y MUROS.</t>
  </si>
  <si>
    <t>INSAN006</t>
  </si>
  <si>
    <t>SUMINISTRO, TRANSPORTE Y COLOCACION DE INSTALACIONES DE AGUA CALIENTE  EN LOSA DE PISO Y MUROS.</t>
  </si>
  <si>
    <t>INSAN009</t>
  </si>
  <si>
    <t>SUMINISTRO, TRANSPORTE Y COLOCACION DE INSTALACIONES DE ACOMETIDA DE AGUA FRIA EN EDIFICIO.</t>
  </si>
  <si>
    <t>TUBMONTA</t>
  </si>
  <si>
    <t>SUMINISTRO, TRANSPORTE Y COLOCACION DE INSTALACIONES DE  MONTANTE DE AGUA FRIA. EDIFICIO A.</t>
  </si>
  <si>
    <t>INSAN008</t>
  </si>
  <si>
    <t>SUMINISTRO, TRANSPORTE Y COLOCACION DE INSTALACIONES SANITARIAS (TUBERIA) DE AGUAS NEGRAS EN PLATEA.</t>
  </si>
  <si>
    <t>INSAN002</t>
  </si>
  <si>
    <t>SUMINISTRO, TRANSPORTE Y COLOCACION DE INSTALACIONES SANITARIAS (TUBERIA) DE AGUAS NEGRAS EN LOSA DE PISO Y MUROS.</t>
  </si>
  <si>
    <t>INSAN007</t>
  </si>
  <si>
    <t>SUMINISTRO, TRANSPORTE Y COLOCACION DE INSTALACIONES SANITARIAS (TUBERIA) DE AGUAS NEGRAS EN BAJANTES.</t>
  </si>
  <si>
    <t>SANAN001</t>
  </si>
  <si>
    <t>SUMINISTRO, TRANSPORTE Y COLOCACION DE INSTALACIONES SANITARIAS (TUBERIA) DE AGUAS PLUVIAL EN TERRAZAS Y BAJANTES.</t>
  </si>
  <si>
    <t>INSAN003</t>
  </si>
  <si>
    <t>SUMINISTRO, TRANSPORTE Y COLOCACION DE INSTALACIONES DE GAS (TUBERIA)  EN LOSA DE PISO Y MUROS. EDIFICIO A.</t>
  </si>
  <si>
    <t>INSAN005</t>
  </si>
  <si>
    <t>SUMINISTRO, TRANSPORTE Y COLOCACION DE INSTALACIONES DE GAS (TUBERIA PVC CAMISA)  EN LOSA DE PISO Y MUROS. EDIFICIO A.</t>
  </si>
  <si>
    <t>GAS MONT</t>
  </si>
  <si>
    <t>SUMINISTRO Y COLOCACION DE MONTANTE DE GAS BAJA PRESION</t>
  </si>
  <si>
    <t>INSAN004</t>
  </si>
  <si>
    <t>SUMINISTRO, TRANSPORTE Y COLOCACION DE PIEZAS SANITARIAS EN BAÑOS. INCLUYE ACCESORIOS DE BAÑOS.</t>
  </si>
  <si>
    <t>DISMINUCION EN PRECIOS DE PIEZAS SANITARIAS Y GRIFERIAS, PRECIOS UTILIZADO EMPRESA  DACIA</t>
  </si>
  <si>
    <t>EBISTB23</t>
  </si>
  <si>
    <t>SUMINISTRO, TRANSPORTE Y COLOCACION DE FREGADERO. INCLUYE GRFERIA.</t>
  </si>
  <si>
    <t>AUMENTO  EN CANTIDAD POR ERROR DE PRESUPUESTO INICIAL  Y  DISMINUCION DE PRECIO EN FREGADERO  PRECIOS EMPRESA DACIA</t>
  </si>
  <si>
    <t>EBISEQ10</t>
  </si>
  <si>
    <t>SUMINISTRO, TRANSPORTE Y COLOCACION DE LAVADERO DE GRANITO. INCLUYE BASE DE METAL, LLAVE E INSTALACION.</t>
  </si>
  <si>
    <t>AUMENTO  EN CANTIDAD POR ERROR DE PRESUPUESTO INICIAL  Y  AUMENTO DE PRECIO EN LAVADERO Y  GRIFERIA POR CAMBIO DE DISENO, PRECIOS EMPRESA DACIA</t>
  </si>
  <si>
    <t>TUBEA31</t>
  </si>
  <si>
    <t>SUMINISTRO, TRANSPORTE Y COLOCCION DE EXTINTOR.</t>
  </si>
  <si>
    <t>ALBAÑILERIA</t>
  </si>
  <si>
    <t>EBMUB107</t>
  </si>
  <si>
    <t>SUMINISTRO, TRANSPORTE Y COLOCACION DE PAREDES EN DENSGLASS.</t>
  </si>
  <si>
    <t>EBPFY02</t>
  </si>
  <si>
    <t xml:space="preserve">CONSTRUCCION DE TECHO CIELO RASO EN BANO,COCINA  Y CUARTO DE ROPA.INCLUYE RH+ACABADO EN PINTURA ANTIHONGOS BLANCA CON DILATACIONES CON ENTRAMADO METALICO
</t>
  </si>
  <si>
    <t>EBPÑIE03</t>
  </si>
  <si>
    <t>SUMINISTRO, TRANSPORTE Y COLOCACION DE DE TERMINACION CON MASILLA PARA PAREDES Y TECHOS EN DENSGLASS.</t>
  </si>
  <si>
    <t>SREMT23</t>
  </si>
  <si>
    <t>RESANE INTERNO  DE SUPERFICIES DE CONCRETO EN APARTAMENTO.</t>
  </si>
  <si>
    <t>SREMT25</t>
  </si>
  <si>
    <t>RESANE INTERNO DE SUPERFICIES DE CONCRETO EN CUERPO FIJO.</t>
  </si>
  <si>
    <t>SREMT24</t>
  </si>
  <si>
    <t>RESANE EXTERIOR DE SUPERFICIES DE CONCRETO EN PAREDES.</t>
  </si>
  <si>
    <t>BARAN22</t>
  </si>
  <si>
    <t>COLOCACION DE ANDAMIOS PARA EL RESANE EXTERIOR.</t>
  </si>
  <si>
    <t>EBTSGT01</t>
  </si>
  <si>
    <t>CONSTRUCCION DE GOTERO EN BALCONES</t>
  </si>
  <si>
    <t>BORDILLO</t>
  </si>
  <si>
    <t>CONSTRUCCION DE BORDILLO EN BALCONES Y CUERPO FIJO</t>
  </si>
  <si>
    <t>EBTSCNT0</t>
  </si>
  <si>
    <t>CONSTRUCCION DE CANTOS DE ANTEPECHOS.</t>
  </si>
  <si>
    <t>EBTSMCH1</t>
  </si>
  <si>
    <t>CONSTRUCCION DE MOCHETAS.</t>
  </si>
  <si>
    <t>SUP004</t>
  </si>
  <si>
    <t>SUMINISTRO,ARMADO,ENCOFRADO Y VACIADO DE ANTEPECHOS DE EDIFICIOS</t>
  </si>
  <si>
    <t>AUMENTO EN EL PRECIO DEL HORMIGON PRECIO UTILIZADO EMPRESA BLUEWAVE</t>
  </si>
  <si>
    <t>ALBL004</t>
  </si>
  <si>
    <t>DISMINUCION DE PRECIO CAMBIO DE MATERIAL ALUMINIO A ESTRUCTURA METALICA, PRECIO PRESUPUESTO EMPRESA SUPLIPUCANSA</t>
  </si>
  <si>
    <t>ALBL009</t>
  </si>
  <si>
    <t>AUMENTO  DE PRECIO IGUAL PRECIO BARANDA ESCALERA, PRECIO PRESUPUESTO EMPRESA SUPLIPUCANSA</t>
  </si>
  <si>
    <t>CARPS018</t>
  </si>
  <si>
    <t>SUMINISTRO, TRANSPORTE Y COLOCACION DE PUERTA METALICA REJILLA(ROMANILLA)  DE 0.70X2.40 NIVEL 1 PASILLO.INCLUYE FONDO Y PINTURA.    (P-02)</t>
  </si>
  <si>
    <t>PZA</t>
  </si>
  <si>
    <t>AUMENTO DE PRECIOPRECIO PRESUPUESTO ALUGAV</t>
  </si>
  <si>
    <t>CARPS019</t>
  </si>
  <si>
    <t>SUMINISTRO, TRANSPORTE Y COLOCACION DE VENTANA  DE VENTILACION METALICA (ROMANILLA)  DE 0.70X1.90 NIVEL 2,NIVEL 3,NIVEL TERRAZA.INCLUYE FONDO Y PINTURA.(R-01)</t>
  </si>
  <si>
    <t>PUERTA06</t>
  </si>
  <si>
    <t>SUMINISTRO, TRANSPORTE Y COLOCACION DE PUERTA METALICA REJILLA(ROMANILLA)  DE 1.00X2.10 CUBIERTA PASILLO.INCLUYE FONDO Y PINTURA.    (P-06)</t>
  </si>
  <si>
    <t>HERRE28</t>
  </si>
  <si>
    <t>SUMINISTRO, TRANSPORTE E INSTALACION  DE PERGOLADO METALICO TIPO 1 y TIPO  2. INCLUYE FONDO Y PINTURA.</t>
  </si>
  <si>
    <t>MANTENIENDO EN ALUMINIO, PRECIO PRESUPUESTO EMPRESA TITAN CHINA AUNQUE SE DEJO UN MONTO MAYOR</t>
  </si>
  <si>
    <t>HERRE30</t>
  </si>
  <si>
    <t>SUMINISTRO, TRANSPORTE E INSTALACION  DE CUBIERTA DE TECHO METALICO.</t>
  </si>
  <si>
    <t>AUMENTO DE PRECIO, PRECIO PRESUPUESTO EMPRESA SUPLIPUCANSA+TERMOPANEL ISOTEX+FASCIA</t>
  </si>
  <si>
    <t>HERRE31</t>
  </si>
  <si>
    <t>SUMINISTRO, TRANSPORTE E INSTALACION  DE PERGOLADO METALICO TECHO. INCLUYE FONDO Y PINTURA.</t>
  </si>
  <si>
    <t>AUMENTO DE PRECIO  COLOCACION DE PANELES TIPO SANDWICH EN PERGOLAS, PRECIO PRESUPUESTO EMPRESA SUPLIPUCANSA</t>
  </si>
  <si>
    <t>REVES000</t>
  </si>
  <si>
    <t>SUMINISTRO, TRANSPORTE Y COLOCACION DE TORTA DE PISO DE NIVELACION H.S. 1:3:5</t>
  </si>
  <si>
    <t>REVES020</t>
  </si>
  <si>
    <t>SUMINISTRO, TRANSPORTE Y COLOCACION DE PISO DE VINIL EN APTO.</t>
  </si>
  <si>
    <t>DISMINUCION DE PRECIO EN EL PISO DE VINIL, PRECIO PRESUPUESTO EMPRESA MATERIAL AQUAARMOR CHINA, AUNQUE EL PRECIO CON ESTA EMPRESA ES 740.46 PESOS EL M2 SE COLOCO 900</t>
  </si>
  <si>
    <t>VINILBAN</t>
  </si>
  <si>
    <t>SUMINISTRO, TRANSPORTE Y COLOCACION DE PISO DE VINIL EN BANO.</t>
  </si>
  <si>
    <t>DISMINUCION  MONTO CAMBIO COSTO PISO DE VINIL A PORCELANATO ; AUNQUE SE AUMENTO  MODIFICACION DE MANO DE OBRA  PARA INSTALACION DE PORCELANATO POR ESTA RAZON AUMENTO EL PRECIO.PRECIO DE PORCELANATO TOMADO EMPRESA CONTE DIRECTO</t>
  </si>
  <si>
    <t>REVES013</t>
  </si>
  <si>
    <t>AUMENTO DE PRECIO  POR COLOCACION PLATO DE DUCHA; SE COLOCO UN PROMEDIO DE 140$ POR COTIZACIONES</t>
  </si>
  <si>
    <t>REVES015</t>
  </si>
  <si>
    <t>DISMINUCION DE CANTIDAD , SOLO PARED DE DUCHA, SE MANTUVO PRECIO DE CERAMICA, NEGOCIAR MEJOR PRECIO EN LA CERAMICA</t>
  </si>
  <si>
    <t>REVES018</t>
  </si>
  <si>
    <t>SUMINISTRO, TRANSPORTE Y COLOCACION DE CERAMICA EN PARED DE COCINA.</t>
  </si>
  <si>
    <t xml:space="preserve">ELIMINADA PATIDA NO SE VA A COLOCAR </t>
  </si>
  <si>
    <t>REVES019</t>
  </si>
  <si>
    <t>SUMINISTRO, TRANSPORTE Y COLOCACION DE PISO  EN BALCONES.</t>
  </si>
  <si>
    <t>DISMINUCION  DE PRECIO DE PORCELANTO  CAMBIO COSTO.PRECIO DE PORCELANATO TOMADO EMPRESA CONTE DIRECTO</t>
  </si>
  <si>
    <t>REVES022</t>
  </si>
  <si>
    <t>SUMINISTRO, TRANSPORTE Y COLOCACION DE ZOCALO DE VINIL.</t>
  </si>
  <si>
    <t>ZOBA</t>
  </si>
  <si>
    <t>SUMINISTRO, TRANSPORTE Y COLOCACION DE ZOCALO BANO</t>
  </si>
  <si>
    <t>REVES017</t>
  </si>
  <si>
    <t>SUMINISTRO, TRANSPORTE Y COLOCACION DE CERAMICA EN PISO AREA DE ESCALERA.</t>
  </si>
  <si>
    <t>REVES011</t>
  </si>
  <si>
    <t>SUMINISTRO, TRANSPORTE Y COLOCACION DE CERAMICA EN PELDAÑOS AREA DE ESCALERA.</t>
  </si>
  <si>
    <t>ALBAÑ51</t>
  </si>
  <si>
    <t>SUMINISTRO, TRANSPORTE Y COLOCACION DE REVESTIMIENTO EN TABLILLA EN PARED FACHADA PRINCIPAL.</t>
  </si>
  <si>
    <t>DISMINUYO PRECIO TABLILLA NO SE COLOCO LA MAS BAJA COTIZACION ,SE BAJO EL RENDIMIENTO Y SE AUMENTO LA MANO DE OBRA.PRECIO EMPRESA DASS</t>
  </si>
  <si>
    <t>EBIMP001</t>
  </si>
  <si>
    <t>SUMINISTRO, TRANSPORTE Y COLOCACION DE IMPERMEABILIZANTE EN BAÑERA DE BAÑO.</t>
  </si>
  <si>
    <t>BROCAL03</t>
  </si>
  <si>
    <t>CONSTRUCCION DE BROCAL PARA BAÑERA DE BAÑO.</t>
  </si>
  <si>
    <t>CARPS300</t>
  </si>
  <si>
    <t>SUMINISTRO, TRANSPORTE Y COLOCACION DE PUERTA PRINCIPAL BLANCA DE 1.00X2.10.(P-01)</t>
  </si>
  <si>
    <t>AUMENTO DE PRECIO POR INCORPORACION DE CERRADURA INTELIGENTE. PRECIO TOMADO DE COTIZACION EBANISTERIA MARIO</t>
  </si>
  <si>
    <t>CARPS002</t>
  </si>
  <si>
    <t>SUMINISTRO, TRANSPORTE Y COLOCACION DE PUERTA DE HABITACIONES   DE 0.90X2.10.(P-05)</t>
  </si>
  <si>
    <t>AUMENTO DE PRECIO. PRECIO TOMADO DE COTIZACION EBANISTERIA MARIO</t>
  </si>
  <si>
    <t>CARPS003</t>
  </si>
  <si>
    <t>SUMINISTRO, TRANSPORTE Y COLOCACION DE PUERTA DE BAÑO DE 0.80X2.35.(P-04)</t>
  </si>
  <si>
    <t>CARPS008</t>
  </si>
  <si>
    <t>SUMINISTRO, TRANSPORTE Y COLOCACION DE PUERTA DE 1X2.10 SALIDA TERRAZA (P-01)</t>
  </si>
  <si>
    <t>EBCLS02</t>
  </si>
  <si>
    <t>SUMINISTRO, TRANSPORTE Y COLOCACION DE PUERTA DE CLOSET TIPO 1. HABITACION PRINCIPAL 2.40 X 2.35</t>
  </si>
  <si>
    <t>AUMENTO DE PRECIO. PRECIO TOMADO DE COTIZACION GRS</t>
  </si>
  <si>
    <t>EBCLS03</t>
  </si>
  <si>
    <t>SUMINISTRO, TRANSPORTE Y COLOCACION DE PUERTA DE CLOSET TIPO 2. HABITACION AUXILIAR 2.20X2.35.</t>
  </si>
  <si>
    <t>MUEBCO02</t>
  </si>
  <si>
    <t>AUMENTO DE PRECIO. PRECIO TOMADO DE COTIZACION GERMANY KITCHEN</t>
  </si>
  <si>
    <t>EBCOCT01</t>
  </si>
  <si>
    <t>DISMINUCION  DE PRECIO. PRECIO TOMADO DE COTIZACION GERMANY KITCHEN</t>
  </si>
  <si>
    <t>CARPS020</t>
  </si>
  <si>
    <t>SUMINISTRO, TRANSPORTE Y COLOCACION DE PUERTA TIPO BATIENTE  DE VIDRIO 0.80 X2.00 SALIDA PATIO.(P-03)</t>
  </si>
  <si>
    <t>AUMENTO DE PRECIO. PRECIO TOMADO DE COTIZACION ALUGAV</t>
  </si>
  <si>
    <t>CARPS021</t>
  </si>
  <si>
    <t>SUMINISTRO, TRANSPORTE Y COLOCACION DE PUERTA-VENTANA FACHADA PRINCIPAL TIPO PV-01  (2.80mX2.10m), NIVEL 2.</t>
  </si>
  <si>
    <t>DISMINUCION DE PRECIO. PRECIO TOMADO DE COTIZACION ALUGAV</t>
  </si>
  <si>
    <t>CARPS022</t>
  </si>
  <si>
    <t>SUMINISTRO, TRANSPORTE Y COLOCACION DE VENTANA FACHADA PRINCIPAL TIPO (V-07)  (2.80mX2.10m, PUERTA DESLIZANTE 3 cuerpos fijos de 1m),(3 cuerpos deslizantes) (NIVEL 1 Y NIVEL 3)</t>
  </si>
  <si>
    <t>CARPS023</t>
  </si>
  <si>
    <t>SUMINISTRO, TRANSPORTE Y COLOCACION DE VENTANA FACHAS PRINCIPAL TIPO (V-06).(1.35mx0.80m,Ventana corredera con romanilla fija parte superior (0.19mx0.75m).</t>
  </si>
  <si>
    <t>CARPS030</t>
  </si>
  <si>
    <t>SUMINISTRO, TRANSPORTE Y COLOCACION DE PUERTA  VENTANA FACHADA POSTERIOR TIPO (PV-02) (1.80mX2.10m,2 cuerpos).</t>
  </si>
  <si>
    <t>CARPS031</t>
  </si>
  <si>
    <t>SUMINISTRO, TRANSPORTE Y COLOCACION DE  VENTANA FACHADA POSTERIOR TIPO (V-05) (1.80mX1.35m,panoramica 2 cuerpos deslizante).</t>
  </si>
  <si>
    <t>CARPS027</t>
  </si>
  <si>
    <t>SUMINISTRO, TRANSPORTE Y COLOCACION DE  VENTANA FACHADA POSTERIOR TIPO (V-02) (1.00mX0.50m,panoramica 2 cuerpos deslizante).</t>
  </si>
  <si>
    <t>CARPS028</t>
  </si>
  <si>
    <t>SUMINISTRO, TRANSPORTE Y COLOCACION DE  VENTANA FACHADA POSTERIOR TIPO (V-01) (1.35mX0.80m,panoramica 2 cuerpos deslizante 1 cuerpo fijo).</t>
  </si>
  <si>
    <t>AUMENTO  DE PRECIO. PRECIO TOMADO DE COTIZACION ALUGAV</t>
  </si>
  <si>
    <t>CARPS032</t>
  </si>
  <si>
    <t>SUMINISTRO, TRANSPORTE Y COLOCACION DE  VENTANA FACHADA LATERAL TIPO (V-04) (1.40mX 1.35m,panoramica 2 cuerpos deslizante)</t>
  </si>
  <si>
    <t>DISMINUCION   DE PRECIO. PRECIO TOMADO DE COTIZACION ALUGAV</t>
  </si>
  <si>
    <t>CARPS033</t>
  </si>
  <si>
    <t>SUMINISTRO, TRANSPORTE Y COLOCACION DE  VENTANA FACHADA LATERAL TIPO (V-01) (1.35mX0.80m,panoramica 3 cuerpos deslizante)</t>
  </si>
  <si>
    <t>AUMENTO   DE PRECIO. PRECIO TOMADO DE COTIZACION ALUGAV</t>
  </si>
  <si>
    <t>CARPS034</t>
  </si>
  <si>
    <t>SUMINISTRO, TRANSPORTE Y COLOCACION DE  VENTANA BANO PRINCIPAL TIPO (V-03) (0.70mX0.50m,panoramica 2 cuerpos deslizante).</t>
  </si>
  <si>
    <t>PINT001</t>
  </si>
  <si>
    <t>SUMINISTRO, TRANSPORTE Y COLOCACION DE ENCAMISADO EN MUROS INTERNOS.</t>
  </si>
  <si>
    <t>EBTSPTE4</t>
  </si>
  <si>
    <t>SUMINISTRO, TRANSPORTE Y COLOCACION DE ENCAMISADO EN TECHOS INTERNOS.</t>
  </si>
  <si>
    <t>PINT010</t>
  </si>
  <si>
    <t>SUMINISTRO, TRANSPORTE Y COLOCACION DE BASE PRIME EN MUROS Y TECHOS  INTERNO (1 ER MANO).</t>
  </si>
  <si>
    <t>PINT004</t>
  </si>
  <si>
    <t>SUMINISTRO, TRANSPORTE Y COLOCACION DE PINTURA EN MUROS Y TECHOS  INTERNO (1 ER MANO).</t>
  </si>
  <si>
    <t xml:space="preserve">PUEDE VARIAR EL PRECIO PARA DISMINUIR PRECIO DE PROYECTO PRECIOS DE PINTURA MAS ECONOMICA </t>
  </si>
  <si>
    <t>PINT005</t>
  </si>
  <si>
    <t>SUMINISTRO, TRANSPORTE Y COLOCACION DE PINTURA EN MUROS Y TECHOS  INTERNO (2 DA MANO).</t>
  </si>
  <si>
    <t>PINT002</t>
  </si>
  <si>
    <t>SUMINISTRO, TRANSPORTE Y COLOCACION DE ENCAMISADO EN MUROS INTERNOS.  CUERPO FIJO.</t>
  </si>
  <si>
    <t>PINT011</t>
  </si>
  <si>
    <t>SUMINISTRO, TRANSPORTE Y COLOCACION DE BASE PRIME EN MUROS INTERNO EN CUERPO FIJO. (1 ER MANO).</t>
  </si>
  <si>
    <t>PINT012</t>
  </si>
  <si>
    <t>SUMINISTRO, TRANSPORTE Y COLOCACION DE PINTURA EN MUROS Y TECHOS  INTERNO EN CUERPO FIJO (1 ER MANO).</t>
  </si>
  <si>
    <t>PINT013</t>
  </si>
  <si>
    <t>SUMINISTRO, TRANSPORTE Y COLOCACION DE PINTURA EN MUROS Y TECHOS  INTERNO EN CUERPO FIJO (2 DA MANO).</t>
  </si>
  <si>
    <t>PINT006</t>
  </si>
  <si>
    <t>SUMINISTRO, TRANSPORTE Y COLOCACION DE ESTUCADO IMPERMEABLE EN FACHADA EXTERIOR.</t>
  </si>
  <si>
    <t>PINT007</t>
  </si>
  <si>
    <t>SUMINISTRO, TRANSPORTE Y COLOCACION DE PRIME EN FACHADA EXTERIOR.</t>
  </si>
  <si>
    <t>PINT003</t>
  </si>
  <si>
    <t>SUMINISTRO, TRANSPORTE Y COLOCACION DE TEXTURIZADO EXTERIOR.</t>
  </si>
  <si>
    <t>PINT008</t>
  </si>
  <si>
    <t>SUMINISTRO, TRANSPORTE Y COLOCACION DE TEXTURIZADO EXTERIOR EN VANOS DE ANTEPECHOS</t>
  </si>
  <si>
    <t>BARAN24</t>
  </si>
  <si>
    <t>COLOCACION DE ANDAMIOS PARA ESTUCADO Y TEXTURIZADO EXTERIOR.</t>
  </si>
  <si>
    <t>TECHO001</t>
  </si>
  <si>
    <t>CONSTRUCCION DE PENDIENTES DE TECHOS.</t>
  </si>
  <si>
    <t>EBTSCHZ0</t>
  </si>
  <si>
    <t>CONSTRUCCION DE ZABALETAS EN TECHO DE EDIFICIO.</t>
  </si>
  <si>
    <t>TECHO002</t>
  </si>
  <si>
    <t>SUMINISTRO, TRANSPORTE Y COLOCACION DE IMPERMEABILIZANTE EN TECHO</t>
  </si>
  <si>
    <t>INFTCR06</t>
  </si>
  <si>
    <t>EXCAVACION EN ROCA CON EQUIPO LIVIANO EN INFRAESTRUCTURA, PARA LA CONSTRUCCION DE ZAPATAS Y VIGAS PERIMETRAL.</t>
  </si>
  <si>
    <t>OEXTE1</t>
  </si>
  <si>
    <t>CONFORMACION DE PATIO.</t>
  </si>
  <si>
    <t>INF013</t>
  </si>
  <si>
    <t>SUMINISTRO, TRANSPORTE Y COLOCACION DE ACERO DE REFUERZO EN INFRAESTRUCTURA, VARILLA DE DIAMETRO D= 3/8" PARA REFUERZO DE VIGA PERIMETRAL.</t>
  </si>
  <si>
    <t>INF024</t>
  </si>
  <si>
    <t>SUMINISTRO, TRANSPORTE Y COLOCACION DE ACERO DE REFUERZO EN INFRAESTRUCTURA, VARILLA DE DIAMETRO D= 5/8" PARA REFUERZO DE VIGA PERIMETRAL.</t>
  </si>
  <si>
    <t>INF021</t>
  </si>
  <si>
    <t>SUMINISTRO, TRANSPORTE Y COLOCACION DE ENCOFRADO METALICO, TIPO RECTO, ACABADO CORRIENTE EN VIGA PERIMETRAL, E=20CMS.</t>
  </si>
  <si>
    <t>INF007</t>
  </si>
  <si>
    <t>SUMINISTRO, TRANSPORTE Y COLOCACION DE HOMIGON DE LIMPIEZA EN VIGA PERIMETRAL.</t>
  </si>
  <si>
    <t>SUP005</t>
  </si>
  <si>
    <t>SUMINISTRO,ARMADO,ENCOFRADO Y VACIADO  MUROS PERIMETRAL,  E=10CMS</t>
  </si>
  <si>
    <t>SUP003</t>
  </si>
  <si>
    <t>SUMINISTRO, TRANSPORTE Y COLOCACION DE HORMIGON DE RCC 210 KG/CM2 A LOS 28 DIAS ACABADO CORRIENTE EN INFRAESTRUCTURA EN VIGA PERIMETRAL.</t>
  </si>
  <si>
    <t>SUPER011</t>
  </si>
  <si>
    <t>SUMINISTRO, TRANSPORTE Y COLOCACION DE ACERO DE REFUERZO EN SUPERESTRUCTURA, VARILLA DE DIAMETRO D= 3/8" PARA REFUERZO EN MURO PERIMETRAL.</t>
  </si>
  <si>
    <t>SUP009</t>
  </si>
  <si>
    <t>SUMINISTRO, TRANSPORTE Y COLOCACION DE HORMIGON DE RCC 210 KG/CM2 A LOS 28 DIAS ACABADO CORRIENTE EN SUPERESTRUCTURA, PARA LA CONSTRUCCION DE MURO PERIMETRAL.</t>
  </si>
  <si>
    <t>RELL10P2</t>
  </si>
  <si>
    <t>SUMINISTRO, TRANSPORTE Y COLOCACION DE GRAMA EN PATIO.INCLUYE TIERRA NEGRA</t>
  </si>
  <si>
    <t>REGISTA3</t>
  </si>
  <si>
    <t>SUMINISTRO, TRANSPORTE Y COLOCACIÓN DE REJILLAS DE AGUA LLUVIA EN PATIO, DE 0.50 X 0.5 MTS.</t>
  </si>
  <si>
    <t>INFTCR04</t>
  </si>
  <si>
    <t>EXCAVACION EN ROCA CON EQUIPO LIVIANO EN INFRAESTRUCTURA, PARA SOTERRADO DE TUBERIAS HIDROSANITARIAS/TANQUILLAS/RIOSTRAS.</t>
  </si>
  <si>
    <t>INF018</t>
  </si>
  <si>
    <t>SUMINISTRO, TRANSPORTE Y COLOCACION DE ACERO DE REFUERZO EN INFRAESTRUCTURA, VARILLA DE DIAMETRO D= 3/8" PARA REFUERZO EN INFRAESTRUCTURA.</t>
  </si>
  <si>
    <t>INF006</t>
  </si>
  <si>
    <t>SUMINISTRO, TRANSPORTE Y COLOCACION DE HORMIGON RCC28 = 210 KG/CM2, EN INGRAESTRUCTURA, PARA ACABADO CORRIENTE, EN ZAPATAS, VIGAS Y LOSAS DE FUNDACION.</t>
  </si>
  <si>
    <t>EBMUB106</t>
  </si>
  <si>
    <t>SUMINISTRO, TRANSPORTE Y COLOCACION DE BLOCK.</t>
  </si>
  <si>
    <t>RD00754</t>
  </si>
  <si>
    <t>SUMINISTRO, TRANSPORTE Y COLOCACION DE TAPA PARA MEDICION DE GAS</t>
  </si>
  <si>
    <t>Und</t>
  </si>
  <si>
    <t>EBPÑIE02</t>
  </si>
  <si>
    <t>SUMINISTRO, TRANSPORTE Y COLOCACION DE PAÑETE EN PAREDES DE BLOCK.</t>
  </si>
  <si>
    <t>PINT009</t>
  </si>
  <si>
    <t>SUMINISTRO, TRANSPORTE Y COLOCACION DE PINTURA EN PAREDES.</t>
  </si>
  <si>
    <t>SIST004</t>
  </si>
  <si>
    <t>SISTEMA DE ENERGIA SOLAR INC PANELES, CAPACIDAD 3.5 KW.</t>
  </si>
  <si>
    <t>Sistema</t>
  </si>
  <si>
    <t>INF016</t>
  </si>
  <si>
    <t>CONSTRUCCION DE ACERA PERIMETRAL.</t>
  </si>
  <si>
    <t>REGISTA2</t>
  </si>
  <si>
    <t>CONSTRUCCION DE REGISTRO PARA CONEXIÓN DE AGUA POTABLE (CONEXIÓN DE AGUA).</t>
  </si>
  <si>
    <t>REGISTA1</t>
  </si>
  <si>
    <t>CONSTRUCCION DE REGISTRO PARA TV Y TELEFONO (60 X 40).</t>
  </si>
  <si>
    <t>EBCGAS01</t>
  </si>
  <si>
    <t>SUMINISTRO, TRANSPORTE Y COLOCACION DE CONTADOR DE GAS.</t>
  </si>
  <si>
    <t>EBISMF01</t>
  </si>
  <si>
    <t xml:space="preserve">SUMINISTRO, TRANSPORTE Y COLOCACION DE MANIFOLD (CONEXIÓN DE AGUA).
</t>
  </si>
  <si>
    <t>EBTSCHZ1</t>
  </si>
  <si>
    <t>CONSTRUCCION DE ZABALETAS EN BORDE DE EDIFICIO.</t>
  </si>
  <si>
    <t>EBISEQ11</t>
  </si>
  <si>
    <t>SUMINISTRO, TRANSPORTE Y COLOCACION DE LLAVE DE CHORRO EN AREA EXTERNA DEL EDIFICIO.</t>
  </si>
  <si>
    <t>MALETERO</t>
  </si>
  <si>
    <t>Construccion de Maleteros en cubierta</t>
  </si>
  <si>
    <t>EBRTN001</t>
  </si>
  <si>
    <t xml:space="preserve">SUMINISTRO, TRANSPORTE Y COLOCACION DE ROTULADO DE EDIFICIO.
</t>
  </si>
  <si>
    <t>EBRTN002</t>
  </si>
  <si>
    <t xml:space="preserve">SUMINISTRO, TRANSPORTE Y COLOCACION DE ROTULADO DE LOS APTO.
</t>
  </si>
  <si>
    <t>ENSAYOS</t>
  </si>
  <si>
    <t>ENSAYOS DE CONCRETO.</t>
  </si>
  <si>
    <t xml:space="preserve">AUMENTO  PRECIO DE PARTIDA COSTO DE ENSAYO EMPRESA ROCAENCA </t>
  </si>
  <si>
    <t>LIMP002</t>
  </si>
  <si>
    <t>LIMPIEZA DE BORDE DE LOSA EXTERIOR.</t>
  </si>
  <si>
    <t>OPTCR005</t>
  </si>
  <si>
    <t>LIMPIEZA Y  BOTE DE ESCOMBROS.</t>
  </si>
  <si>
    <t>DIA</t>
  </si>
  <si>
    <t>OPTCR006</t>
  </si>
  <si>
    <t>LIMPIEZA DE APTOS.</t>
  </si>
  <si>
    <t>DETALLE COMPARATIVO POR PARTIDA - PRESUPUESTO EDIFICIO ORIGINAL  VS PRESUPUESTO ACTUALIZADO</t>
  </si>
  <si>
    <t xml:space="preserve">EDIFICACIONES  X MES 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</si>
  <si>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</si>
  <si>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</si>
  <si>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</si>
  <si>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</si>
  <si>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</si>
  <si>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</si>
  <si>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</si>
  <si>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</si>
  <si>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</si>
  <si>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</si>
  <si>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</si>
  <si>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</si>
  <si>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</si>
  <si>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</si>
  <si>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</si>
  <si>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</si>
  <si>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</si>
  <si>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</si>
  <si>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#26</t>
  </si>
  <si>
    <t>#71</t>
  </si>
  <si>
    <t>#72</t>
  </si>
  <si>
    <t>#73</t>
  </si>
  <si>
    <t>#74</t>
  </si>
  <si>
    <t>#75</t>
  </si>
  <si>
    <t>#70</t>
  </si>
  <si>
    <t>#77</t>
  </si>
  <si>
    <t>Total x 26 Edificios</t>
  </si>
  <si>
    <t xml:space="preserve">PIEZAS ELECTRICAS Y CABLEADO </t>
  </si>
  <si>
    <t>PIEZAS ELECTRICAS Y CABLEADO</t>
  </si>
  <si>
    <t>CAJAS DE BREAKER</t>
  </si>
  <si>
    <t>ORIGINAL</t>
  </si>
  <si>
    <t>ACTUALIZADO</t>
  </si>
  <si>
    <t>INSTALACIONES ELECTRICAS-CAJA DE BREAKER</t>
  </si>
  <si>
    <t xml:space="preserve">VINIL </t>
  </si>
  <si>
    <t>MODIFICADO</t>
  </si>
  <si>
    <t>CERAMICA PISO BANO</t>
  </si>
  <si>
    <t xml:space="preserve">CERAMICA PISO DUCHA </t>
  </si>
  <si>
    <t>CERAMICA PISO BALCONES</t>
  </si>
  <si>
    <t>CERAMICA EN ESCALERA</t>
  </si>
  <si>
    <t xml:space="preserve">TORTA DE NIVELACION </t>
  </si>
  <si>
    <t xml:space="preserve">PARED DE BANO </t>
  </si>
  <si>
    <t>PARED COCINA</t>
  </si>
  <si>
    <t>REVESTIMIENTO PISO DE VINIL</t>
  </si>
  <si>
    <t>CERAMICA PISO DE BANO</t>
  </si>
  <si>
    <t xml:space="preserve">CERAMICA PISO DE DUCHA </t>
  </si>
  <si>
    <t xml:space="preserve">CERAMICA PISO DE BALCON </t>
  </si>
  <si>
    <t>CERAMICA PISO DE ESCALERA</t>
  </si>
  <si>
    <t>PARED DE BANO</t>
  </si>
  <si>
    <t>Ahorro respecto al original,Precio AQUAARMOR CHINA</t>
  </si>
  <si>
    <t>Aumento colocacion plato de ducha</t>
  </si>
  <si>
    <t>Ahorro precio de porcelanato</t>
  </si>
  <si>
    <t>Disminucion precio Tablilla,Disminucion de rendimiento,Aumento precio mano de obra</t>
  </si>
  <si>
    <t>Sin variacion notable,bajo el precio material se ajusto mano de obra</t>
  </si>
  <si>
    <t>Ahorro respecto Original -Disminucion de cantidad y precio de porcelanato</t>
  </si>
  <si>
    <t xml:space="preserve">PARED COCINA </t>
  </si>
  <si>
    <t>Ahorro se disminuyo partida</t>
  </si>
  <si>
    <t>SOLELEC HISPANIOLA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</si>
</sst>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.00;\(#,##0.00\);\-"/>
    <numFmt numFmtId="165" formatCode="\$#,##0.00;&quot;($&quot;#,##0.00\);\-"/>
    <numFmt numFmtId="166" formatCode="0.0%;\(0.0%\);\-"/>
    <numFmt numFmtId="167" formatCode="\$#,##0.00"/>
    <numFmt numFmtId="168" formatCode="\$#,##0;&quot;($&quot;#,##0\);\-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5F"/>
        <bgColor rgb="FF333333"/>
      </patternFill>
    </fill>
    <fill>
      <patternFill patternType="solid">
        <fgColor rgb="FFD9E2E8"/>
        <bgColor rgb="FFCCFFFF"/>
      </patternFill>
    </fill>
    <fill>
      <patternFill patternType="solid">
        <fgColor rgb="FF3B6E88"/>
        <bgColor rgb="FF1F4E5F"/>
      </patternFill>
    </fill>
    <fill>
      <patternFill patternType="solid">
        <fgColor rgb="FFFFF2CC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4" fillId="0" borderId="0"/>
  </cellStyleXfs>
  <cellXfs count="57">
    <xf numFmtId="0" fontId="0" fillId="0" borderId="0" xfId="0"/>
    <xf numFmtId="0" fontId="4" fillId="0" borderId="0" xfId="7"/>
    <xf numFmtId="0" fontId="4" fillId="0" borderId="6" xfId="7" applyBorder="1"/>
    <xf numFmtId="0" fontId="5" fillId="4" borderId="17" xfId="7" applyFont="1" applyFill="1" applyBorder="1" applyAlignment="1">
      <alignment horizontal="center" vertical="center" wrapText="1"/>
    </xf>
    <xf numFmtId="0" fontId="2" fillId="0" borderId="17" xfId="7" applyFont="1" applyBorder="1"/>
    <xf numFmtId="165" fontId="2" fillId="0" borderId="17" xfId="7" applyNumberFormat="1" applyFont="1" applyBorder="1" applyAlignment="1">
      <alignment horizontal="right"/>
    </xf>
    <xf numFmtId="165" fontId="4" fillId="0" borderId="17" xfId="7" applyNumberFormat="1" applyBorder="1" applyAlignment="1">
      <alignment horizontal="right"/>
    </xf>
    <xf numFmtId="166" fontId="4" fillId="0" borderId="17" xfId="7" applyNumberFormat="1" applyBorder="1" applyAlignment="1">
      <alignment horizontal="right"/>
    </xf>
    <xf numFmtId="0" fontId="7" fillId="5" borderId="17" xfId="7" applyFont="1" applyFill="1" applyBorder="1"/>
    <xf numFmtId="165" fontId="7" fillId="5" borderId="17" xfId="7" applyNumberFormat="1" applyFont="1" applyFill="1" applyBorder="1" applyAlignment="1">
      <alignment horizontal="right"/>
    </xf>
    <xf numFmtId="166" fontId="7" fillId="5" borderId="17" xfId="7" applyNumberFormat="1" applyFont="1" applyFill="1" applyBorder="1" applyAlignment="1">
      <alignment horizontal="right"/>
    </xf>
    <xf numFmtId="0" fontId="4" fillId="5" borderId="17" xfId="7" applyFill="1" applyBorder="1"/>
    <xf numFmtId="0" fontId="2" fillId="0" borderId="0" xfId="7" applyFont="1"/>
    <xf numFmtId="167" fontId="2" fillId="0" borderId="0" xfId="7" applyNumberFormat="1" applyFont="1"/>
    <xf numFmtId="0" fontId="7" fillId="0" borderId="0" xfId="7" applyFont="1"/>
    <xf numFmtId="168" fontId="7" fillId="0" borderId="0" xfId="7" applyNumberFormat="1" applyFont="1"/>
    <xf numFmtId="166" fontId="7" fillId="0" borderId="0" xfId="7" applyNumberFormat="1" applyFont="1"/>
    <xf numFmtId="0" fontId="9" fillId="4" borderId="17" xfId="7" applyFont="1" applyFill="1" applyBorder="1" applyAlignment="1">
      <alignment horizontal="center" vertical="center" wrapText="1"/>
    </xf>
    <xf numFmtId="0" fontId="5" fillId="6" borderId="0" xfId="7" applyFont="1" applyFill="1"/>
    <xf numFmtId="0" fontId="10" fillId="0" borderId="17" xfId="7" applyFont="1" applyBorder="1" applyAlignment="1">
      <alignment horizontal="center"/>
    </xf>
    <xf numFmtId="0" fontId="10" fillId="0" borderId="17" xfId="7" applyFont="1" applyBorder="1" applyAlignment="1">
      <alignment horizontal="left" vertical="top" wrapText="1"/>
    </xf>
    <xf numFmtId="164" fontId="10" fillId="0" borderId="17" xfId="7" applyNumberFormat="1" applyFont="1" applyBorder="1" applyAlignment="1">
      <alignment horizontal="right"/>
    </xf>
    <xf numFmtId="0" fontId="10" fillId="7" borderId="17" xfId="7" applyFont="1" applyFill="1" applyBorder="1" applyAlignment="1">
      <alignment horizontal="center"/>
    </xf>
    <xf numFmtId="0" fontId="10" fillId="7" borderId="17" xfId="7" applyFont="1" applyFill="1" applyBorder="1" applyAlignment="1">
      <alignment horizontal="left" vertical="top" wrapText="1"/>
    </xf>
    <xf numFmtId="164" fontId="10" fillId="7" borderId="17" xfId="7" applyNumberFormat="1" applyFont="1" applyFill="1" applyBorder="1" applyAlignment="1">
      <alignment horizontal="right"/>
    </xf>
    <xf numFmtId="164" fontId="10" fillId="0" borderId="18" xfId="7" applyNumberFormat="1" applyFont="1" applyBorder="1" applyAlignment="1">
      <alignment horizontal="right"/>
    </xf>
    <xf numFmtId="164" fontId="4" fillId="2" borderId="11" xfId="7" applyNumberFormat="1" applyFill="1" applyBorder="1"/>
    <xf numFmtId="39" fontId="4" fillId="0" borderId="0" xfId="7" applyNumberFormat="1"/>
    <xf numFmtId="164" fontId="4" fillId="0" borderId="0" xfId="7" applyNumberFormat="1"/>
    <xf numFmtId="0" fontId="4" fillId="0" borderId="4" xfId="7" applyBorder="1"/>
    <xf numFmtId="4" fontId="4" fillId="0" borderId="7" xfId="7" applyNumberFormat="1" applyBorder="1"/>
    <xf numFmtId="0" fontId="4" fillId="0" borderId="15" xfId="7" applyBorder="1"/>
    <xf numFmtId="0" fontId="4" fillId="0" borderId="16" xfId="7" applyBorder="1"/>
    <xf numFmtId="164" fontId="10" fillId="8" borderId="17" xfId="7" applyNumberFormat="1" applyFont="1" applyFill="1" applyBorder="1" applyAlignment="1">
      <alignment horizontal="right"/>
    </xf>
    <xf numFmtId="164" fontId="10" fillId="9" borderId="17" xfId="7" applyNumberFormat="1" applyFont="1" applyFill="1" applyBorder="1" applyAlignment="1">
      <alignment horizontal="right"/>
    </xf>
    <xf numFmtId="0" fontId="2" fillId="0" borderId="17" xfId="7" applyFont="1" applyBorder="1" applyAlignment="1">
      <alignment vertical="justify"/>
    </xf>
    <xf numFmtId="0" fontId="4" fillId="0" borderId="10" xfId="7" applyBorder="1"/>
    <xf numFmtId="0" fontId="4" fillId="0" borderId="8" xfId="7" applyBorder="1"/>
    <xf numFmtId="0" fontId="4" fillId="0" borderId="9" xfId="7" applyBorder="1"/>
    <xf numFmtId="4" fontId="4" fillId="0" borderId="14" xfId="7" applyNumberFormat="1" applyBorder="1"/>
    <xf numFmtId="10" fontId="12" fillId="3" borderId="19" xfId="7" applyNumberFormat="1" applyFont="1" applyFill="1" applyBorder="1"/>
    <xf numFmtId="4" fontId="4" fillId="0" borderId="11" xfId="7" applyNumberFormat="1" applyBorder="1"/>
    <xf numFmtId="0" fontId="4" fillId="0" borderId="12" xfId="7" applyBorder="1"/>
    <xf numFmtId="0" fontId="4" fillId="0" borderId="5" xfId="7" applyBorder="1"/>
    <xf numFmtId="0" fontId="4" fillId="0" borderId="13" xfId="7" applyBorder="1"/>
    <xf numFmtId="4" fontId="12" fillId="2" borderId="11" xfId="7" applyNumberFormat="1" applyFont="1" applyFill="1" applyBorder="1"/>
    <xf numFmtId="168" fontId="7" fillId="2" borderId="0" xfId="7" applyNumberFormat="1" applyFont="1" applyFill="1"/>
    <xf numFmtId="166" fontId="7" fillId="2" borderId="0" xfId="7" applyNumberFormat="1" applyFont="1" applyFill="1"/>
    <xf numFmtId="164" fontId="5" fillId="6" borderId="0" xfId="7" applyNumberFormat="1" applyFont="1" applyFill="1"/>
    <xf numFmtId="4" fontId="4" fillId="0" borderId="0" xfId="7" applyNumberFormat="1"/>
    <xf numFmtId="0" fontId="4" fillId="0" borderId="1" xfId="7" applyBorder="1" applyAlignment="1">
      <alignment horizontal="center"/>
    </xf>
    <xf numFmtId="0" fontId="4" fillId="0" borderId="2" xfId="7" applyBorder="1" applyAlignment="1">
      <alignment horizontal="center"/>
    </xf>
    <xf numFmtId="0" fontId="4" fillId="0" borderId="3" xfId="7" applyBorder="1" applyAlignment="1">
      <alignment horizontal="center"/>
    </xf>
    <xf numFmtId="0" fontId="2" fillId="0" borderId="0" xfId="7" applyFont="1" applyAlignment="1">
      <alignment horizontal="left" wrapText="1"/>
    </xf>
    <xf numFmtId="0" fontId="6" fillId="4" borderId="0" xfId="7" applyFont="1" applyFill="1" applyAlignment="1">
      <alignment horizontal="center" vertical="center"/>
    </xf>
    <xf numFmtId="0" fontId="5" fillId="4" borderId="0" xfId="7" applyFont="1" applyFill="1" applyAlignment="1">
      <alignment horizontal="left" vertical="center"/>
    </xf>
    <xf numFmtId="0" fontId="8" fillId="0" borderId="0" xfId="7" applyFont="1"/>
  </cellXfs>
  <cellStyles count="8">
    <cellStyle name="Millares 2" xfId="3" xr:uid="{337205F2-D7BB-48FF-A996-C86AD370B658}"/>
    <cellStyle name="Normal" xfId="0" builtinId="0"/>
    <cellStyle name="Normal 2" xfId="2" xr:uid="{3FEA0A1B-E5A5-4003-9D24-456766D9C297}"/>
    <cellStyle name="Normal 3" xfId="1" xr:uid="{8CC429C8-FF71-4F70-92FA-7662C796D592}"/>
    <cellStyle name="Normal 3 2" xfId="4" xr:uid="{580D1888-CDB1-4B8E-AA11-9CBC547F6626}"/>
    <cellStyle name="Normal 3 2 2" xfId="5" xr:uid="{94020A96-E317-4BD2-A062-D2A5793A2073}"/>
    <cellStyle name="Normal 4" xfId="7" xr:uid="{7AC96363-260C-432E-867D-E77283EB7110}"/>
    <cellStyle name="Porcentaje 2" xfId="6" xr:uid="{A47EC783-3C3C-4269-8126-134BB46C7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8E105-FF28-4C84-8CEB-B24820162B5F}">
  <sheetPr>
    <tabColor theme="5" tint="0.79998168889431442"/>
  </sheetPr>
  <dimension ref="A1:R215"/>
  <sheetViews>
    <sheetView showGridLines="0" zoomScaleNormal="100" workbookViewId="0">
      <pane ySplit="4" topLeftCell="A51" activePane="bottomLeft" state="frozen"/>
      <selection pane="bottomLeft" activeCell="P67" sqref="P67"/>
    </sheetView>
  </sheetViews>
  <sheetFormatPr baseColWidth="10" defaultColWidth="7.625" defaultRowHeight="15" x14ac:dyDescent="0.25"/>
  <cols>
    <col min="1" max="1" width="4.375" style="1" customWidth="1"/>
    <col min="2" max="2" width="9.625" style="1" customWidth="1"/>
    <col min="3" max="3" width="36.75" style="1" customWidth="1"/>
    <col min="4" max="4" width="7" style="1" customWidth="1"/>
    <col min="5" max="6" width="9.625" style="1" customWidth="1"/>
    <col min="7" max="7" width="11.375" style="1" customWidth="1"/>
    <col min="8" max="9" width="9.625" style="1" customWidth="1"/>
    <col min="10" max="11" width="11.375" style="1" customWidth="1"/>
    <col min="12" max="12" width="39.375" style="1" customWidth="1"/>
    <col min="13" max="13" width="10.25" style="1" bestFit="1" customWidth="1"/>
    <col min="14" max="14" width="11.25" style="1" customWidth="1"/>
    <col min="15" max="15" width="7.625" style="1"/>
    <col min="16" max="16" width="10.875" style="1" bestFit="1" customWidth="1"/>
    <col min="17" max="17" width="11.875" style="1" customWidth="1"/>
    <col min="18" max="18" width="12.875" style="1" customWidth="1"/>
    <col min="19" max="16384" width="7.625" style="1"/>
  </cols>
  <sheetData>
    <row r="1" spans="1:13" ht="25.5" customHeight="1" x14ac:dyDescent="0.25">
      <c r="A1" s="54" t="s">
        <v>437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3" ht="15.75" customHeight="1" x14ac:dyDescent="0.25">
      <c r="A2" s="56" t="s">
        <v>52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4" spans="1:13" ht="31.5" customHeight="1" x14ac:dyDescent="0.25">
      <c r="A4" s="17" t="s">
        <v>53</v>
      </c>
      <c r="B4" s="17" t="s">
        <v>54</v>
      </c>
      <c r="C4" s="17" t="s">
        <v>55</v>
      </c>
      <c r="D4" s="17" t="s">
        <v>56</v>
      </c>
      <c r="E4" s="17" t="s">
        <v>57</v>
      </c>
      <c r="F4" s="17" t="s">
        <v>58</v>
      </c>
      <c r="G4" s="17" t="s">
        <v>59</v>
      </c>
      <c r="H4" s="17" t="s">
        <v>60</v>
      </c>
      <c r="I4" s="17" t="s">
        <v>61</v>
      </c>
      <c r="J4" s="17" t="s">
        <v>62</v>
      </c>
      <c r="K4" s="17" t="s">
        <v>63</v>
      </c>
      <c r="L4" s="17" t="s">
        <v>64</v>
      </c>
    </row>
    <row r="5" spans="1:13" x14ac:dyDescent="0.25">
      <c r="A5" s="18" t="s">
        <v>21</v>
      </c>
      <c r="B5" s="18"/>
      <c r="C5" s="18"/>
      <c r="D5" s="18"/>
      <c r="E5" s="18"/>
      <c r="F5" s="18"/>
      <c r="G5" s="48">
        <f>SUM(G6:G24)</f>
        <v>1387237.51</v>
      </c>
      <c r="H5" s="18"/>
      <c r="I5" s="18"/>
      <c r="J5" s="48">
        <f>SUM(J6:J24)</f>
        <v>1475727.83</v>
      </c>
      <c r="K5" s="18"/>
      <c r="L5" s="18"/>
      <c r="M5" s="49">
        <v>1475727.83</v>
      </c>
    </row>
    <row r="6" spans="1:13" ht="36" x14ac:dyDescent="0.25">
      <c r="A6" s="19">
        <v>1</v>
      </c>
      <c r="B6" s="19" t="s">
        <v>65</v>
      </c>
      <c r="C6" s="20" t="s">
        <v>66</v>
      </c>
      <c r="D6" s="19" t="s">
        <v>8</v>
      </c>
      <c r="E6" s="21">
        <v>210.03</v>
      </c>
      <c r="F6" s="21">
        <v>30.09</v>
      </c>
      <c r="G6" s="21">
        <v>6319.8</v>
      </c>
      <c r="H6" s="21">
        <v>210.03</v>
      </c>
      <c r="I6" s="21">
        <v>30.09</v>
      </c>
      <c r="J6" s="21">
        <v>6319.8</v>
      </c>
      <c r="K6" s="21">
        <f t="shared" ref="K6:K24" si="0">J6-G6</f>
        <v>0</v>
      </c>
      <c r="L6" s="20"/>
      <c r="M6" s="49"/>
    </row>
    <row r="7" spans="1:13" ht="36" x14ac:dyDescent="0.25">
      <c r="A7" s="19">
        <v>2</v>
      </c>
      <c r="B7" s="19" t="s">
        <v>67</v>
      </c>
      <c r="C7" s="20" t="s">
        <v>68</v>
      </c>
      <c r="D7" s="19" t="s">
        <v>8</v>
      </c>
      <c r="E7" s="21">
        <v>210.03</v>
      </c>
      <c r="F7" s="21">
        <v>93.59</v>
      </c>
      <c r="G7" s="21">
        <v>19656.71</v>
      </c>
      <c r="H7" s="21">
        <v>210.03</v>
      </c>
      <c r="I7" s="21">
        <v>93.59</v>
      </c>
      <c r="J7" s="21">
        <v>19656.71</v>
      </c>
      <c r="K7" s="21">
        <f t="shared" si="0"/>
        <v>0</v>
      </c>
      <c r="L7" s="20"/>
      <c r="M7" s="49"/>
    </row>
    <row r="8" spans="1:13" ht="24" x14ac:dyDescent="0.25">
      <c r="A8" s="19">
        <v>3</v>
      </c>
      <c r="B8" s="19" t="s">
        <v>69</v>
      </c>
      <c r="C8" s="20" t="s">
        <v>70</v>
      </c>
      <c r="D8" s="19" t="s">
        <v>71</v>
      </c>
      <c r="E8" s="21">
        <v>21</v>
      </c>
      <c r="F8" s="21">
        <v>1470.45</v>
      </c>
      <c r="G8" s="21">
        <v>30879.45</v>
      </c>
      <c r="H8" s="21">
        <v>21</v>
      </c>
      <c r="I8" s="21">
        <v>1470.45</v>
      </c>
      <c r="J8" s="21">
        <v>30879.45</v>
      </c>
      <c r="K8" s="21">
        <f t="shared" si="0"/>
        <v>0</v>
      </c>
      <c r="L8" s="20"/>
      <c r="M8" s="49"/>
    </row>
    <row r="9" spans="1:13" ht="36" x14ac:dyDescent="0.25">
      <c r="A9" s="19">
        <v>4</v>
      </c>
      <c r="B9" s="19" t="s">
        <v>72</v>
      </c>
      <c r="C9" s="20" t="s">
        <v>73</v>
      </c>
      <c r="D9" s="19" t="s">
        <v>8</v>
      </c>
      <c r="E9" s="21">
        <v>210.03</v>
      </c>
      <c r="F9" s="21">
        <v>35.299999999999997</v>
      </c>
      <c r="G9" s="21">
        <v>7414.06</v>
      </c>
      <c r="H9" s="21">
        <v>210.03</v>
      </c>
      <c r="I9" s="21">
        <v>35.299999999999997</v>
      </c>
      <c r="J9" s="21">
        <v>7414.06</v>
      </c>
      <c r="K9" s="21">
        <f t="shared" si="0"/>
        <v>0</v>
      </c>
      <c r="L9" s="20"/>
      <c r="M9" s="49"/>
    </row>
    <row r="10" spans="1:13" x14ac:dyDescent="0.25">
      <c r="A10" s="19">
        <v>5</v>
      </c>
      <c r="B10" s="19" t="s">
        <v>74</v>
      </c>
      <c r="C10" s="20" t="s">
        <v>75</v>
      </c>
      <c r="D10" s="19" t="s">
        <v>71</v>
      </c>
      <c r="E10" s="21">
        <v>21</v>
      </c>
      <c r="F10" s="21">
        <v>901.15419999999995</v>
      </c>
      <c r="G10" s="21">
        <v>18924.240000000002</v>
      </c>
      <c r="H10" s="21">
        <v>21</v>
      </c>
      <c r="I10" s="21">
        <v>901.15419999999995</v>
      </c>
      <c r="J10" s="21">
        <v>18924.240000000002</v>
      </c>
      <c r="K10" s="21">
        <f t="shared" si="0"/>
        <v>0</v>
      </c>
      <c r="L10" s="20"/>
      <c r="M10" s="49"/>
    </row>
    <row r="11" spans="1:13" x14ac:dyDescent="0.25">
      <c r="A11" s="19">
        <v>6</v>
      </c>
      <c r="B11" s="19" t="s">
        <v>76</v>
      </c>
      <c r="C11" s="20" t="s">
        <v>77</v>
      </c>
      <c r="D11" s="19" t="s">
        <v>8</v>
      </c>
      <c r="E11" s="21">
        <v>210.03</v>
      </c>
      <c r="F11" s="21">
        <v>112.1</v>
      </c>
      <c r="G11" s="21">
        <v>23544.36</v>
      </c>
      <c r="H11" s="21">
        <v>210.03</v>
      </c>
      <c r="I11" s="21">
        <v>112.1</v>
      </c>
      <c r="J11" s="21">
        <v>23544.36</v>
      </c>
      <c r="K11" s="21">
        <f t="shared" si="0"/>
        <v>0</v>
      </c>
      <c r="L11" s="20"/>
      <c r="M11" s="49"/>
    </row>
    <row r="12" spans="1:13" ht="36" x14ac:dyDescent="0.25">
      <c r="A12" s="19">
        <v>7</v>
      </c>
      <c r="B12" s="19" t="s">
        <v>78</v>
      </c>
      <c r="C12" s="20" t="s">
        <v>79</v>
      </c>
      <c r="D12" s="19" t="s">
        <v>71</v>
      </c>
      <c r="E12" s="21">
        <v>20.3</v>
      </c>
      <c r="F12" s="21">
        <v>4424.93</v>
      </c>
      <c r="G12" s="21">
        <v>89826.08</v>
      </c>
      <c r="H12" s="21">
        <v>20.3</v>
      </c>
      <c r="I12" s="21">
        <v>4424.93</v>
      </c>
      <c r="J12" s="21">
        <v>89826.08</v>
      </c>
      <c r="K12" s="21">
        <f t="shared" si="0"/>
        <v>0</v>
      </c>
      <c r="L12" s="20"/>
      <c r="M12" s="49"/>
    </row>
    <row r="13" spans="1:13" ht="36" x14ac:dyDescent="0.25">
      <c r="A13" s="19">
        <v>8</v>
      </c>
      <c r="B13" s="19" t="s">
        <v>80</v>
      </c>
      <c r="C13" s="20" t="s">
        <v>81</v>
      </c>
      <c r="D13" s="19" t="s">
        <v>71</v>
      </c>
      <c r="E13" s="21">
        <v>14.24</v>
      </c>
      <c r="F13" s="21">
        <v>4424.93</v>
      </c>
      <c r="G13" s="21">
        <v>63011</v>
      </c>
      <c r="H13" s="21">
        <v>14.24</v>
      </c>
      <c r="I13" s="21">
        <v>4424.93</v>
      </c>
      <c r="J13" s="21">
        <v>63011</v>
      </c>
      <c r="K13" s="21">
        <f t="shared" si="0"/>
        <v>0</v>
      </c>
      <c r="L13" s="20"/>
      <c r="M13" s="49"/>
    </row>
    <row r="14" spans="1:13" ht="24" x14ac:dyDescent="0.25">
      <c r="A14" s="19">
        <v>9</v>
      </c>
      <c r="B14" s="19" t="s">
        <v>82</v>
      </c>
      <c r="C14" s="20" t="s">
        <v>83</v>
      </c>
      <c r="D14" s="19" t="s">
        <v>71</v>
      </c>
      <c r="E14" s="21">
        <v>38.31</v>
      </c>
      <c r="F14" s="21">
        <v>1625.5006000000001</v>
      </c>
      <c r="G14" s="21">
        <v>62272.93</v>
      </c>
      <c r="H14" s="21">
        <v>38.31</v>
      </c>
      <c r="I14" s="21">
        <v>1625.5006000000001</v>
      </c>
      <c r="J14" s="21">
        <v>62272.93</v>
      </c>
      <c r="K14" s="21">
        <f t="shared" si="0"/>
        <v>0</v>
      </c>
      <c r="L14" s="20"/>
      <c r="M14" s="49"/>
    </row>
    <row r="15" spans="1:13" ht="24" x14ac:dyDescent="0.25">
      <c r="A15" s="19">
        <v>10</v>
      </c>
      <c r="B15" s="19" t="s">
        <v>84</v>
      </c>
      <c r="C15" s="20" t="s">
        <v>85</v>
      </c>
      <c r="D15" s="19" t="s">
        <v>71</v>
      </c>
      <c r="E15" s="21">
        <v>8</v>
      </c>
      <c r="F15" s="21">
        <v>2335.81</v>
      </c>
      <c r="G15" s="21">
        <v>18686.48</v>
      </c>
      <c r="H15" s="21">
        <v>8</v>
      </c>
      <c r="I15" s="21">
        <v>2335.81</v>
      </c>
      <c r="J15" s="21">
        <v>18686.48</v>
      </c>
      <c r="K15" s="21">
        <f t="shared" si="0"/>
        <v>0</v>
      </c>
      <c r="L15" s="20"/>
      <c r="M15" s="49"/>
    </row>
    <row r="16" spans="1:13" ht="24" x14ac:dyDescent="0.25">
      <c r="A16" s="19">
        <v>11</v>
      </c>
      <c r="B16" s="19" t="s">
        <v>86</v>
      </c>
      <c r="C16" s="20" t="s">
        <v>87</v>
      </c>
      <c r="D16" s="19" t="s">
        <v>71</v>
      </c>
      <c r="E16" s="21">
        <v>6.24</v>
      </c>
      <c r="F16" s="21">
        <v>3243.38</v>
      </c>
      <c r="G16" s="21">
        <v>20238.689999999999</v>
      </c>
      <c r="H16" s="21">
        <v>6.24</v>
      </c>
      <c r="I16" s="21">
        <v>3243.38</v>
      </c>
      <c r="J16" s="21">
        <v>20238.689999999999</v>
      </c>
      <c r="K16" s="21">
        <f t="shared" si="0"/>
        <v>0</v>
      </c>
      <c r="L16" s="20"/>
      <c r="M16" s="49"/>
    </row>
    <row r="17" spans="1:13" ht="48" x14ac:dyDescent="0.25">
      <c r="A17" s="22">
        <v>12</v>
      </c>
      <c r="B17" s="22" t="s">
        <v>88</v>
      </c>
      <c r="C17" s="23" t="s">
        <v>89</v>
      </c>
      <c r="D17" s="22" t="s">
        <v>90</v>
      </c>
      <c r="E17" s="24">
        <v>44.4</v>
      </c>
      <c r="F17" s="24">
        <v>3761.1</v>
      </c>
      <c r="G17" s="24">
        <v>166992.84</v>
      </c>
      <c r="H17" s="24">
        <v>44.49</v>
      </c>
      <c r="I17" s="24">
        <v>3761.1</v>
      </c>
      <c r="J17" s="24">
        <v>167331.34</v>
      </c>
      <c r="K17" s="24">
        <f t="shared" si="0"/>
        <v>338.5</v>
      </c>
      <c r="L17" s="23" t="s">
        <v>91</v>
      </c>
      <c r="M17" s="49"/>
    </row>
    <row r="18" spans="1:13" ht="48" x14ac:dyDescent="0.25">
      <c r="A18" s="22">
        <v>13</v>
      </c>
      <c r="B18" s="22" t="s">
        <v>92</v>
      </c>
      <c r="C18" s="23" t="s">
        <v>93</v>
      </c>
      <c r="D18" s="22" t="s">
        <v>90</v>
      </c>
      <c r="E18" s="24">
        <v>18.3</v>
      </c>
      <c r="F18" s="24">
        <v>3686.83</v>
      </c>
      <c r="G18" s="24">
        <v>67468.990000000005</v>
      </c>
      <c r="H18" s="24">
        <v>22.51</v>
      </c>
      <c r="I18" s="24">
        <v>3686.83</v>
      </c>
      <c r="J18" s="24">
        <v>82990.539999999994</v>
      </c>
      <c r="K18" s="24">
        <f t="shared" si="0"/>
        <v>15521.549999999988</v>
      </c>
      <c r="L18" s="23" t="s">
        <v>94</v>
      </c>
      <c r="M18" s="49"/>
    </row>
    <row r="19" spans="1:13" ht="48" x14ac:dyDescent="0.25">
      <c r="A19" s="22">
        <v>14</v>
      </c>
      <c r="B19" s="22" t="s">
        <v>95</v>
      </c>
      <c r="C19" s="23" t="s">
        <v>96</v>
      </c>
      <c r="D19" s="22" t="s">
        <v>90</v>
      </c>
      <c r="E19" s="24">
        <v>10.53</v>
      </c>
      <c r="F19" s="24">
        <v>3590.43</v>
      </c>
      <c r="G19" s="24">
        <v>37807.230000000003</v>
      </c>
      <c r="H19" s="24">
        <v>12.7</v>
      </c>
      <c r="I19" s="24">
        <v>4157.04</v>
      </c>
      <c r="J19" s="24">
        <v>52794.41</v>
      </c>
      <c r="K19" s="24">
        <f t="shared" si="0"/>
        <v>14987.18</v>
      </c>
      <c r="L19" s="23" t="s">
        <v>97</v>
      </c>
      <c r="M19" s="49"/>
    </row>
    <row r="20" spans="1:13" ht="48" x14ac:dyDescent="0.25">
      <c r="A20" s="22">
        <v>15</v>
      </c>
      <c r="B20" s="22" t="s">
        <v>98</v>
      </c>
      <c r="C20" s="23" t="s">
        <v>99</v>
      </c>
      <c r="D20" s="22" t="s">
        <v>90</v>
      </c>
      <c r="E20" s="24">
        <v>6.58</v>
      </c>
      <c r="F20" s="24">
        <v>4196.88</v>
      </c>
      <c r="G20" s="24">
        <v>27615.47</v>
      </c>
      <c r="H20" s="24">
        <v>7.61</v>
      </c>
      <c r="I20" s="24">
        <v>4523.72</v>
      </c>
      <c r="J20" s="24">
        <v>34425.51</v>
      </c>
      <c r="K20" s="24">
        <f t="shared" si="0"/>
        <v>6810.0400000000009</v>
      </c>
      <c r="L20" s="23" t="s">
        <v>100</v>
      </c>
      <c r="M20" s="49"/>
    </row>
    <row r="21" spans="1:13" ht="48" x14ac:dyDescent="0.25">
      <c r="A21" s="22">
        <v>16</v>
      </c>
      <c r="B21" s="22" t="s">
        <v>101</v>
      </c>
      <c r="C21" s="23" t="s">
        <v>102</v>
      </c>
      <c r="D21" s="22" t="s">
        <v>8</v>
      </c>
      <c r="E21" s="24">
        <v>504.07</v>
      </c>
      <c r="F21" s="24">
        <v>291.49</v>
      </c>
      <c r="G21" s="24">
        <v>146931.35999999999</v>
      </c>
      <c r="H21" s="24">
        <v>504.07</v>
      </c>
      <c r="I21" s="24">
        <v>266.70999999999998</v>
      </c>
      <c r="J21" s="24">
        <v>134440.51</v>
      </c>
      <c r="K21" s="24">
        <f t="shared" si="0"/>
        <v>-12490.849999999977</v>
      </c>
      <c r="L21" s="23" t="s">
        <v>103</v>
      </c>
      <c r="M21" s="49"/>
    </row>
    <row r="22" spans="1:13" ht="48" x14ac:dyDescent="0.25">
      <c r="A22" s="19">
        <v>17</v>
      </c>
      <c r="B22" s="19" t="s">
        <v>104</v>
      </c>
      <c r="C22" s="20" t="s">
        <v>105</v>
      </c>
      <c r="D22" s="19" t="s">
        <v>4</v>
      </c>
      <c r="E22" s="21">
        <v>65.55</v>
      </c>
      <c r="F22" s="21">
        <v>684.16880000000003</v>
      </c>
      <c r="G22" s="21">
        <v>44847.26</v>
      </c>
      <c r="H22" s="21">
        <v>65.55</v>
      </c>
      <c r="I22" s="21">
        <v>684.16880000000003</v>
      </c>
      <c r="J22" s="21">
        <v>44847.26</v>
      </c>
      <c r="K22" s="21">
        <f t="shared" si="0"/>
        <v>0</v>
      </c>
      <c r="L22" s="20"/>
      <c r="M22" s="49"/>
    </row>
    <row r="23" spans="1:13" ht="36" x14ac:dyDescent="0.25">
      <c r="A23" s="22">
        <v>18</v>
      </c>
      <c r="B23" s="22" t="s">
        <v>106</v>
      </c>
      <c r="C23" s="23" t="s">
        <v>107</v>
      </c>
      <c r="D23" s="22" t="s">
        <v>71</v>
      </c>
      <c r="E23" s="24">
        <v>12.47</v>
      </c>
      <c r="F23" s="24">
        <v>8660.7900000000009</v>
      </c>
      <c r="G23" s="24">
        <v>108000.05</v>
      </c>
      <c r="H23" s="24">
        <v>10</v>
      </c>
      <c r="I23" s="24">
        <v>9098.51</v>
      </c>
      <c r="J23" s="24">
        <v>90985.1</v>
      </c>
      <c r="K23" s="24">
        <f t="shared" si="0"/>
        <v>-17014.949999999997</v>
      </c>
      <c r="L23" s="23" t="s">
        <v>108</v>
      </c>
      <c r="M23" s="49"/>
    </row>
    <row r="24" spans="1:13" ht="60" x14ac:dyDescent="0.25">
      <c r="A24" s="22">
        <v>19</v>
      </c>
      <c r="B24" s="22" t="s">
        <v>109</v>
      </c>
      <c r="C24" s="23" t="s">
        <v>110</v>
      </c>
      <c r="D24" s="22" t="s">
        <v>71</v>
      </c>
      <c r="E24" s="24">
        <v>46.73</v>
      </c>
      <c r="F24" s="24">
        <v>9133.33</v>
      </c>
      <c r="G24" s="24">
        <v>426800.51</v>
      </c>
      <c r="H24" s="24">
        <v>52</v>
      </c>
      <c r="I24" s="24">
        <v>9752.68</v>
      </c>
      <c r="J24" s="24">
        <v>507139.36</v>
      </c>
      <c r="K24" s="24">
        <f t="shared" si="0"/>
        <v>80338.849999999977</v>
      </c>
      <c r="L24" s="23" t="s">
        <v>111</v>
      </c>
      <c r="M24" s="49"/>
    </row>
    <row r="25" spans="1:13" x14ac:dyDescent="0.25">
      <c r="A25" s="18" t="s">
        <v>25</v>
      </c>
      <c r="B25" s="18"/>
      <c r="C25" s="18"/>
      <c r="D25" s="18"/>
      <c r="E25" s="18"/>
      <c r="F25" s="18"/>
      <c r="G25" s="48">
        <f>SUM(G26:G39)</f>
        <v>4310739.0200000005</v>
      </c>
      <c r="H25" s="18"/>
      <c r="I25" s="18"/>
      <c r="J25" s="48">
        <f>SUM(J26:J39)</f>
        <v>4452077.4399999995</v>
      </c>
      <c r="K25" s="18"/>
      <c r="L25" s="18"/>
      <c r="M25" s="49"/>
    </row>
    <row r="26" spans="1:13" ht="60" x14ac:dyDescent="0.25">
      <c r="A26" s="22">
        <v>20</v>
      </c>
      <c r="B26" s="22" t="s">
        <v>112</v>
      </c>
      <c r="C26" s="23" t="s">
        <v>113</v>
      </c>
      <c r="D26" s="22" t="s">
        <v>71</v>
      </c>
      <c r="E26" s="24">
        <v>156.30000000000001</v>
      </c>
      <c r="F26" s="24">
        <v>9487.86</v>
      </c>
      <c r="G26" s="24">
        <v>1482952.52</v>
      </c>
      <c r="H26" s="24">
        <v>159</v>
      </c>
      <c r="I26" s="24">
        <v>10422.209999999999</v>
      </c>
      <c r="J26" s="24">
        <v>1657131.39</v>
      </c>
      <c r="K26" s="24">
        <f t="shared" ref="K26:K39" si="1">J26-G26</f>
        <v>174178.86999999988</v>
      </c>
      <c r="L26" s="23" t="s">
        <v>114</v>
      </c>
      <c r="M26" s="49"/>
    </row>
    <row r="27" spans="1:13" ht="60" x14ac:dyDescent="0.25">
      <c r="A27" s="22">
        <v>21</v>
      </c>
      <c r="B27" s="22" t="s">
        <v>115</v>
      </c>
      <c r="C27" s="23" t="s">
        <v>116</v>
      </c>
      <c r="D27" s="22" t="s">
        <v>71</v>
      </c>
      <c r="E27" s="24">
        <v>10.72</v>
      </c>
      <c r="F27" s="24">
        <v>10618.54</v>
      </c>
      <c r="G27" s="24">
        <v>113830.75</v>
      </c>
      <c r="H27" s="24">
        <v>14</v>
      </c>
      <c r="I27" s="24">
        <v>11552.89</v>
      </c>
      <c r="J27" s="24">
        <v>161740.46</v>
      </c>
      <c r="K27" s="24">
        <f t="shared" si="1"/>
        <v>47909.709999999992</v>
      </c>
      <c r="L27" s="23" t="s">
        <v>114</v>
      </c>
      <c r="M27" s="49"/>
    </row>
    <row r="28" spans="1:13" ht="48" x14ac:dyDescent="0.25">
      <c r="A28" s="19">
        <v>22</v>
      </c>
      <c r="B28" s="19" t="s">
        <v>117</v>
      </c>
      <c r="C28" s="20" t="s">
        <v>118</v>
      </c>
      <c r="D28" s="19" t="s">
        <v>8</v>
      </c>
      <c r="E28" s="21">
        <v>553.14</v>
      </c>
      <c r="F28" s="21">
        <v>2126.5284000000001</v>
      </c>
      <c r="G28" s="21">
        <v>1176267.92</v>
      </c>
      <c r="H28" s="21">
        <v>553.14</v>
      </c>
      <c r="I28" s="21">
        <v>2126.5284000000001</v>
      </c>
      <c r="J28" s="21">
        <v>1176267.92</v>
      </c>
      <c r="K28" s="21">
        <f t="shared" si="1"/>
        <v>0</v>
      </c>
      <c r="L28" s="20"/>
      <c r="M28" s="49"/>
    </row>
    <row r="29" spans="1:13" ht="36" x14ac:dyDescent="0.25">
      <c r="A29" s="19">
        <v>23</v>
      </c>
      <c r="B29" s="19" t="s">
        <v>119</v>
      </c>
      <c r="C29" s="20" t="s">
        <v>120</v>
      </c>
      <c r="D29" s="19" t="s">
        <v>8</v>
      </c>
      <c r="E29" s="21">
        <v>43.23</v>
      </c>
      <c r="F29" s="21">
        <v>1920.3516</v>
      </c>
      <c r="G29" s="21">
        <v>83016.800000000003</v>
      </c>
      <c r="H29" s="21">
        <v>43.23</v>
      </c>
      <c r="I29" s="21">
        <v>1920.3516</v>
      </c>
      <c r="J29" s="21">
        <v>83016.800000000003</v>
      </c>
      <c r="K29" s="21">
        <f t="shared" si="1"/>
        <v>0</v>
      </c>
      <c r="L29" s="20"/>
      <c r="M29" s="49"/>
    </row>
    <row r="30" spans="1:13" ht="48" x14ac:dyDescent="0.25">
      <c r="A30" s="19">
        <v>24</v>
      </c>
      <c r="B30" s="19" t="s">
        <v>121</v>
      </c>
      <c r="C30" s="20" t="s">
        <v>122</v>
      </c>
      <c r="D30" s="19" t="s">
        <v>8</v>
      </c>
      <c r="E30" s="21">
        <v>48.85</v>
      </c>
      <c r="F30" s="21">
        <v>2452.0421999999999</v>
      </c>
      <c r="G30" s="21">
        <v>119782.26</v>
      </c>
      <c r="H30" s="21">
        <v>48.85</v>
      </c>
      <c r="I30" s="21">
        <v>2452.0421999999999</v>
      </c>
      <c r="J30" s="21">
        <v>119782.26</v>
      </c>
      <c r="K30" s="21">
        <f t="shared" si="1"/>
        <v>0</v>
      </c>
      <c r="L30" s="20"/>
      <c r="M30" s="49"/>
    </row>
    <row r="31" spans="1:13" ht="24" x14ac:dyDescent="0.25">
      <c r="A31" s="19">
        <v>25</v>
      </c>
      <c r="B31" s="19" t="s">
        <v>123</v>
      </c>
      <c r="C31" s="20" t="s">
        <v>124</v>
      </c>
      <c r="D31" s="19" t="s">
        <v>125</v>
      </c>
      <c r="E31" s="21">
        <v>3</v>
      </c>
      <c r="F31" s="21">
        <v>19841.38</v>
      </c>
      <c r="G31" s="21">
        <v>59524.14</v>
      </c>
      <c r="H31" s="21">
        <v>3</v>
      </c>
      <c r="I31" s="21">
        <v>19841.38</v>
      </c>
      <c r="J31" s="21">
        <v>59524.14</v>
      </c>
      <c r="K31" s="21">
        <f t="shared" si="1"/>
        <v>0</v>
      </c>
      <c r="L31" s="20"/>
      <c r="M31" s="49"/>
    </row>
    <row r="32" spans="1:13" ht="24" x14ac:dyDescent="0.25">
      <c r="A32" s="19">
        <v>26</v>
      </c>
      <c r="B32" s="19" t="s">
        <v>126</v>
      </c>
      <c r="C32" s="20" t="s">
        <v>127</v>
      </c>
      <c r="D32" s="19" t="s">
        <v>125</v>
      </c>
      <c r="E32" s="21">
        <v>4</v>
      </c>
      <c r="F32" s="21">
        <v>16427.34</v>
      </c>
      <c r="G32" s="21">
        <v>65709.36</v>
      </c>
      <c r="H32" s="21">
        <v>4</v>
      </c>
      <c r="I32" s="21">
        <v>16427.34</v>
      </c>
      <c r="J32" s="21">
        <v>65709.36</v>
      </c>
      <c r="K32" s="21">
        <f t="shared" si="1"/>
        <v>0</v>
      </c>
      <c r="L32" s="20"/>
      <c r="M32" s="49"/>
    </row>
    <row r="33" spans="1:18" ht="48" x14ac:dyDescent="0.25">
      <c r="A33" s="22">
        <v>27</v>
      </c>
      <c r="B33" s="22" t="s">
        <v>128</v>
      </c>
      <c r="C33" s="23" t="s">
        <v>129</v>
      </c>
      <c r="D33" s="22" t="s">
        <v>90</v>
      </c>
      <c r="E33" s="24">
        <v>163.71</v>
      </c>
      <c r="F33" s="24">
        <v>3758.05</v>
      </c>
      <c r="G33" s="24">
        <v>615230.37</v>
      </c>
      <c r="H33" s="24">
        <v>163.71</v>
      </c>
      <c r="I33" s="24">
        <v>3758.05</v>
      </c>
      <c r="J33" s="24">
        <v>615230.37</v>
      </c>
      <c r="K33" s="24">
        <f t="shared" si="1"/>
        <v>0</v>
      </c>
      <c r="L33" s="23" t="s">
        <v>130</v>
      </c>
      <c r="M33" s="49"/>
    </row>
    <row r="34" spans="1:18" ht="48" x14ac:dyDescent="0.25">
      <c r="A34" s="22">
        <v>28</v>
      </c>
      <c r="B34" s="22" t="s">
        <v>131</v>
      </c>
      <c r="C34" s="23" t="s">
        <v>132</v>
      </c>
      <c r="D34" s="22" t="s">
        <v>90</v>
      </c>
      <c r="E34" s="24">
        <v>15.79</v>
      </c>
      <c r="F34" s="24">
        <v>3813.63</v>
      </c>
      <c r="G34" s="24">
        <v>60217.22</v>
      </c>
      <c r="H34" s="24">
        <v>15.79</v>
      </c>
      <c r="I34" s="24">
        <v>3813.63</v>
      </c>
      <c r="J34" s="24">
        <v>60217.22</v>
      </c>
      <c r="K34" s="24">
        <f t="shared" si="1"/>
        <v>0</v>
      </c>
      <c r="L34" s="23" t="s">
        <v>130</v>
      </c>
      <c r="M34" s="49"/>
    </row>
    <row r="35" spans="1:18" ht="48" x14ac:dyDescent="0.25">
      <c r="A35" s="22">
        <v>29</v>
      </c>
      <c r="B35" s="22" t="s">
        <v>133</v>
      </c>
      <c r="C35" s="23" t="s">
        <v>134</v>
      </c>
      <c r="D35" s="22" t="s">
        <v>90</v>
      </c>
      <c r="E35" s="24">
        <v>3.88</v>
      </c>
      <c r="F35" s="24">
        <v>3748.42</v>
      </c>
      <c r="G35" s="24">
        <v>14543.87</v>
      </c>
      <c r="H35" s="24">
        <v>3.88</v>
      </c>
      <c r="I35" s="24">
        <v>3748.42</v>
      </c>
      <c r="J35" s="24">
        <v>14543.87</v>
      </c>
      <c r="K35" s="24">
        <f t="shared" si="1"/>
        <v>0</v>
      </c>
      <c r="L35" s="23" t="s">
        <v>130</v>
      </c>
      <c r="M35" s="49"/>
    </row>
    <row r="36" spans="1:18" ht="48" x14ac:dyDescent="0.25">
      <c r="A36" s="22">
        <v>30</v>
      </c>
      <c r="B36" s="22" t="s">
        <v>135</v>
      </c>
      <c r="C36" s="23" t="s">
        <v>136</v>
      </c>
      <c r="D36" s="22" t="s">
        <v>90</v>
      </c>
      <c r="E36" s="24">
        <v>0.65</v>
      </c>
      <c r="F36" s="24">
        <v>3529.73</v>
      </c>
      <c r="G36" s="24">
        <v>2294.3200000000002</v>
      </c>
      <c r="H36" s="24">
        <v>0.65</v>
      </c>
      <c r="I36" s="24">
        <v>3529.73</v>
      </c>
      <c r="J36" s="24">
        <v>2294.3200000000002</v>
      </c>
      <c r="K36" s="24">
        <f t="shared" si="1"/>
        <v>0</v>
      </c>
      <c r="L36" s="23" t="s">
        <v>130</v>
      </c>
      <c r="M36" s="49"/>
    </row>
    <row r="37" spans="1:18" ht="48" x14ac:dyDescent="0.25">
      <c r="A37" s="22">
        <v>31</v>
      </c>
      <c r="B37" s="22" t="s">
        <v>137</v>
      </c>
      <c r="C37" s="23" t="s">
        <v>138</v>
      </c>
      <c r="D37" s="22" t="s">
        <v>8</v>
      </c>
      <c r="E37" s="24">
        <v>657.2</v>
      </c>
      <c r="F37" s="24">
        <v>528.5</v>
      </c>
      <c r="G37" s="24">
        <v>347330.2</v>
      </c>
      <c r="H37" s="24">
        <v>657.2</v>
      </c>
      <c r="I37" s="24">
        <v>405.63</v>
      </c>
      <c r="J37" s="24">
        <v>266580.03999999998</v>
      </c>
      <c r="K37" s="24">
        <f t="shared" si="1"/>
        <v>-80750.160000000033</v>
      </c>
      <c r="L37" s="23" t="s">
        <v>139</v>
      </c>
      <c r="M37" s="49"/>
    </row>
    <row r="38" spans="1:18" ht="60" x14ac:dyDescent="0.25">
      <c r="A38" s="22">
        <v>32</v>
      </c>
      <c r="B38" s="22" t="s">
        <v>140</v>
      </c>
      <c r="C38" s="23" t="s">
        <v>141</v>
      </c>
      <c r="D38" s="22" t="s">
        <v>90</v>
      </c>
      <c r="E38" s="24">
        <v>34.04</v>
      </c>
      <c r="F38" s="24">
        <v>3813.63</v>
      </c>
      <c r="G38" s="24">
        <v>129815.97</v>
      </c>
      <c r="H38" s="24">
        <v>34.04</v>
      </c>
      <c r="I38" s="24">
        <v>3813.63</v>
      </c>
      <c r="J38" s="24">
        <v>129815.97</v>
      </c>
      <c r="K38" s="24">
        <f t="shared" si="1"/>
        <v>0</v>
      </c>
      <c r="L38" s="23" t="s">
        <v>130</v>
      </c>
      <c r="M38" s="49"/>
    </row>
    <row r="39" spans="1:18" ht="60" x14ac:dyDescent="0.25">
      <c r="A39" s="22">
        <v>33</v>
      </c>
      <c r="B39" s="22" t="s">
        <v>142</v>
      </c>
      <c r="C39" s="23" t="s">
        <v>143</v>
      </c>
      <c r="D39" s="22" t="s">
        <v>90</v>
      </c>
      <c r="E39" s="24">
        <v>10.91</v>
      </c>
      <c r="F39" s="24">
        <v>3686.83</v>
      </c>
      <c r="G39" s="24">
        <v>40223.32</v>
      </c>
      <c r="H39" s="24">
        <v>10.91</v>
      </c>
      <c r="I39" s="24">
        <v>3686.83</v>
      </c>
      <c r="J39" s="24">
        <v>40223.32</v>
      </c>
      <c r="K39" s="24">
        <f t="shared" si="1"/>
        <v>0</v>
      </c>
      <c r="L39" s="23" t="s">
        <v>130</v>
      </c>
      <c r="M39" s="49"/>
      <c r="Q39" s="1" t="s">
        <v>469</v>
      </c>
      <c r="R39" s="1" t="s">
        <v>470</v>
      </c>
    </row>
    <row r="40" spans="1:18" x14ac:dyDescent="0.25">
      <c r="A40" s="18" t="s">
        <v>28</v>
      </c>
      <c r="B40" s="18"/>
      <c r="C40" s="18"/>
      <c r="D40" s="18"/>
      <c r="E40" s="18"/>
      <c r="F40" s="18"/>
      <c r="G40" s="48">
        <f>SUM(G41:G48)</f>
        <v>860818.84000000008</v>
      </c>
      <c r="H40" s="18"/>
      <c r="I40" s="18"/>
      <c r="J40" s="48">
        <f>SUM(J41:J48)</f>
        <v>851358.04</v>
      </c>
      <c r="K40" s="18"/>
      <c r="L40" s="18"/>
      <c r="M40" s="49"/>
    </row>
    <row r="41" spans="1:18" ht="36" x14ac:dyDescent="0.25">
      <c r="A41" s="19">
        <v>34</v>
      </c>
      <c r="B41" s="19" t="s">
        <v>144</v>
      </c>
      <c r="C41" s="20" t="s">
        <v>145</v>
      </c>
      <c r="D41" s="19" t="s">
        <v>146</v>
      </c>
      <c r="E41" s="21">
        <v>1</v>
      </c>
      <c r="F41" s="21">
        <v>28277.81</v>
      </c>
      <c r="G41" s="21">
        <v>28277.81</v>
      </c>
      <c r="H41" s="21">
        <v>1</v>
      </c>
      <c r="I41" s="21">
        <v>28277.81</v>
      </c>
      <c r="J41" s="21">
        <v>28277.81</v>
      </c>
      <c r="K41" s="21">
        <f t="shared" ref="K41:K48" si="2">J41-G41</f>
        <v>0</v>
      </c>
      <c r="L41" s="20"/>
      <c r="M41" s="49"/>
      <c r="N41" s="1" t="s">
        <v>28</v>
      </c>
      <c r="Q41" s="27">
        <f>G41+G42+G43+G48</f>
        <v>414331.38</v>
      </c>
      <c r="R41" s="27">
        <f>J41+J42+J43+J48</f>
        <v>404870.58</v>
      </c>
    </row>
    <row r="42" spans="1:18" ht="36" x14ac:dyDescent="0.25">
      <c r="A42" s="19">
        <v>35</v>
      </c>
      <c r="B42" s="19" t="s">
        <v>147</v>
      </c>
      <c r="C42" s="20" t="s">
        <v>148</v>
      </c>
      <c r="D42" s="19" t="s">
        <v>149</v>
      </c>
      <c r="E42" s="21">
        <v>6</v>
      </c>
      <c r="F42" s="21">
        <v>27873.69</v>
      </c>
      <c r="G42" s="21">
        <v>167242.14000000001</v>
      </c>
      <c r="H42" s="21">
        <v>6</v>
      </c>
      <c r="I42" s="21">
        <v>27873.69</v>
      </c>
      <c r="J42" s="21">
        <v>167242.14000000001</v>
      </c>
      <c r="K42" s="21">
        <f t="shared" si="2"/>
        <v>0</v>
      </c>
      <c r="L42" s="20"/>
      <c r="M42" s="49"/>
      <c r="N42" s="1" t="s">
        <v>467</v>
      </c>
      <c r="Q42" s="27">
        <f>G44+G45+G46+G47</f>
        <v>446487.45999999996</v>
      </c>
      <c r="R42" s="27">
        <f>J44+J45+J46+J47</f>
        <v>446487.45999999996</v>
      </c>
    </row>
    <row r="43" spans="1:18" ht="36" x14ac:dyDescent="0.25">
      <c r="A43" s="19">
        <v>36</v>
      </c>
      <c r="B43" s="19" t="s">
        <v>150</v>
      </c>
      <c r="C43" s="20" t="s">
        <v>151</v>
      </c>
      <c r="D43" s="19" t="s">
        <v>152</v>
      </c>
      <c r="E43" s="21">
        <v>1</v>
      </c>
      <c r="F43" s="21">
        <v>31380.13</v>
      </c>
      <c r="G43" s="21">
        <v>31380.13</v>
      </c>
      <c r="H43" s="21">
        <v>1</v>
      </c>
      <c r="I43" s="21">
        <v>31380.13</v>
      </c>
      <c r="J43" s="21">
        <v>31380.13</v>
      </c>
      <c r="K43" s="21">
        <f t="shared" si="2"/>
        <v>0</v>
      </c>
      <c r="L43" s="20"/>
      <c r="M43" s="49"/>
      <c r="N43" s="1" t="s">
        <v>468</v>
      </c>
      <c r="Q43" s="28"/>
      <c r="R43" s="28"/>
    </row>
    <row r="44" spans="1:18" ht="24" x14ac:dyDescent="0.25">
      <c r="A44" s="19">
        <v>37</v>
      </c>
      <c r="B44" s="19" t="s">
        <v>153</v>
      </c>
      <c r="C44" s="20" t="s">
        <v>154</v>
      </c>
      <c r="D44" s="19" t="s">
        <v>149</v>
      </c>
      <c r="E44" s="21">
        <v>6</v>
      </c>
      <c r="F44" s="21">
        <v>24261.13</v>
      </c>
      <c r="G44" s="21">
        <v>145566.78</v>
      </c>
      <c r="H44" s="21">
        <v>6</v>
      </c>
      <c r="I44" s="21">
        <v>24261.13</v>
      </c>
      <c r="J44" s="21">
        <v>145566.78</v>
      </c>
      <c r="K44" s="21">
        <f t="shared" si="2"/>
        <v>0</v>
      </c>
      <c r="L44" s="20"/>
      <c r="M44" s="49"/>
      <c r="Q44" s="27">
        <f>SUM(Q41:Q43)</f>
        <v>860818.84</v>
      </c>
      <c r="R44" s="27">
        <f>SUM(R41:R43)</f>
        <v>851358.04</v>
      </c>
    </row>
    <row r="45" spans="1:18" ht="36" x14ac:dyDescent="0.25">
      <c r="A45" s="19">
        <v>38</v>
      </c>
      <c r="B45" s="19" t="s">
        <v>155</v>
      </c>
      <c r="C45" s="20" t="s">
        <v>156</v>
      </c>
      <c r="D45" s="19" t="s">
        <v>152</v>
      </c>
      <c r="E45" s="21">
        <v>1</v>
      </c>
      <c r="F45" s="21">
        <v>17096.78</v>
      </c>
      <c r="G45" s="21">
        <v>17096.78</v>
      </c>
      <c r="H45" s="21">
        <v>1</v>
      </c>
      <c r="I45" s="21">
        <v>17096.78</v>
      </c>
      <c r="J45" s="21">
        <v>17096.78</v>
      </c>
      <c r="K45" s="21">
        <f t="shared" si="2"/>
        <v>0</v>
      </c>
      <c r="L45" s="20"/>
      <c r="M45" s="49"/>
      <c r="Q45" s="27"/>
      <c r="R45" s="27"/>
    </row>
    <row r="46" spans="1:18" ht="24" x14ac:dyDescent="0.25">
      <c r="A46" s="19">
        <v>39</v>
      </c>
      <c r="B46" s="19" t="s">
        <v>157</v>
      </c>
      <c r="C46" s="20" t="s">
        <v>158</v>
      </c>
      <c r="D46" s="19" t="s">
        <v>149</v>
      </c>
      <c r="E46" s="21">
        <v>6</v>
      </c>
      <c r="F46" s="21">
        <v>44072.57</v>
      </c>
      <c r="G46" s="21">
        <v>264435.42</v>
      </c>
      <c r="H46" s="21">
        <v>6</v>
      </c>
      <c r="I46" s="21">
        <v>44072.57</v>
      </c>
      <c r="J46" s="21">
        <v>264435.42</v>
      </c>
      <c r="K46" s="21">
        <f t="shared" si="2"/>
        <v>0</v>
      </c>
      <c r="L46" s="20"/>
      <c r="M46" s="49"/>
    </row>
    <row r="47" spans="1:18" ht="24" x14ac:dyDescent="0.25">
      <c r="A47" s="19">
        <v>40</v>
      </c>
      <c r="B47" s="19" t="s">
        <v>159</v>
      </c>
      <c r="C47" s="20" t="s">
        <v>160</v>
      </c>
      <c r="D47" s="19" t="s">
        <v>152</v>
      </c>
      <c r="E47" s="21">
        <v>1</v>
      </c>
      <c r="F47" s="21">
        <v>19388.48</v>
      </c>
      <c r="G47" s="21">
        <v>19388.48</v>
      </c>
      <c r="H47" s="21">
        <v>1</v>
      </c>
      <c r="I47" s="21">
        <v>19388.48</v>
      </c>
      <c r="J47" s="21">
        <v>19388.48</v>
      </c>
      <c r="K47" s="21">
        <f t="shared" si="2"/>
        <v>0</v>
      </c>
      <c r="L47" s="20"/>
      <c r="M47" s="49"/>
    </row>
    <row r="48" spans="1:18" ht="24" x14ac:dyDescent="0.25">
      <c r="A48" s="22">
        <v>41</v>
      </c>
      <c r="B48" s="22" t="s">
        <v>161</v>
      </c>
      <c r="C48" s="23" t="s">
        <v>162</v>
      </c>
      <c r="D48" s="22" t="s">
        <v>149</v>
      </c>
      <c r="E48" s="24">
        <v>6</v>
      </c>
      <c r="F48" s="24">
        <v>31238.55</v>
      </c>
      <c r="G48" s="24">
        <v>187431.3</v>
      </c>
      <c r="H48" s="24">
        <v>6</v>
      </c>
      <c r="I48" s="24">
        <v>29661.75</v>
      </c>
      <c r="J48" s="24">
        <v>177970.5</v>
      </c>
      <c r="K48" s="24">
        <f t="shared" si="2"/>
        <v>-9460.7999999999884</v>
      </c>
      <c r="L48" s="23" t="s">
        <v>163</v>
      </c>
      <c r="M48" s="49"/>
    </row>
    <row r="49" spans="1:13" x14ac:dyDescent="0.25">
      <c r="A49" s="18" t="s">
        <v>30</v>
      </c>
      <c r="B49" s="18"/>
      <c r="C49" s="18"/>
      <c r="D49" s="18"/>
      <c r="E49" s="18"/>
      <c r="F49" s="18"/>
      <c r="G49" s="48">
        <f>SUM(G50:G52)</f>
        <v>127665.95999999999</v>
      </c>
      <c r="H49" s="18"/>
      <c r="I49" s="18"/>
      <c r="J49" s="48">
        <f>SUM(J50:J52)</f>
        <v>127665.95999999999</v>
      </c>
      <c r="K49" s="18"/>
      <c r="L49" s="18"/>
      <c r="M49" s="49"/>
    </row>
    <row r="50" spans="1:13" ht="36" x14ac:dyDescent="0.25">
      <c r="A50" s="19">
        <v>42</v>
      </c>
      <c r="B50" s="19" t="s">
        <v>164</v>
      </c>
      <c r="C50" s="20" t="s">
        <v>165</v>
      </c>
      <c r="D50" s="19" t="s">
        <v>166</v>
      </c>
      <c r="E50" s="21">
        <v>1</v>
      </c>
      <c r="F50" s="21">
        <v>26041.25</v>
      </c>
      <c r="G50" s="21">
        <v>26041.25</v>
      </c>
      <c r="H50" s="21">
        <v>1</v>
      </c>
      <c r="I50" s="21">
        <v>26041.25</v>
      </c>
      <c r="J50" s="21">
        <v>26041.25</v>
      </c>
      <c r="K50" s="21">
        <f>J50-G50</f>
        <v>0</v>
      </c>
      <c r="L50" s="20"/>
      <c r="M50" s="49"/>
    </row>
    <row r="51" spans="1:13" ht="60" x14ac:dyDescent="0.25">
      <c r="A51" s="19">
        <v>43</v>
      </c>
      <c r="B51" s="19" t="s">
        <v>167</v>
      </c>
      <c r="C51" s="20" t="s">
        <v>168</v>
      </c>
      <c r="D51" s="19" t="s">
        <v>166</v>
      </c>
      <c r="E51" s="21">
        <v>1</v>
      </c>
      <c r="F51" s="21">
        <v>8332.2099999999991</v>
      </c>
      <c r="G51" s="21">
        <v>8332.2099999999991</v>
      </c>
      <c r="H51" s="21">
        <v>1</v>
      </c>
      <c r="I51" s="21">
        <v>8332.2099999999991</v>
      </c>
      <c r="J51" s="21">
        <v>8332.2099999999991</v>
      </c>
      <c r="K51" s="21">
        <f>J51-G51</f>
        <v>0</v>
      </c>
      <c r="L51" s="20"/>
      <c r="M51" s="49"/>
    </row>
    <row r="52" spans="1:13" ht="48" x14ac:dyDescent="0.25">
      <c r="A52" s="19">
        <v>44</v>
      </c>
      <c r="B52" s="19" t="s">
        <v>169</v>
      </c>
      <c r="C52" s="20" t="s">
        <v>170</v>
      </c>
      <c r="D52" s="19" t="s">
        <v>149</v>
      </c>
      <c r="E52" s="21">
        <v>6</v>
      </c>
      <c r="F52" s="21">
        <v>15548.75</v>
      </c>
      <c r="G52" s="21">
        <v>93292.5</v>
      </c>
      <c r="H52" s="21">
        <v>6</v>
      </c>
      <c r="I52" s="21">
        <v>15548.75</v>
      </c>
      <c r="J52" s="21">
        <v>93292.5</v>
      </c>
      <c r="K52" s="21">
        <f>J52-G52</f>
        <v>0</v>
      </c>
      <c r="L52" s="20"/>
      <c r="M52" s="49"/>
    </row>
    <row r="53" spans="1:13" x14ac:dyDescent="0.25">
      <c r="A53" s="18" t="s">
        <v>32</v>
      </c>
      <c r="B53" s="18"/>
      <c r="C53" s="18"/>
      <c r="D53" s="18"/>
      <c r="E53" s="18"/>
      <c r="F53" s="18"/>
      <c r="G53" s="48">
        <f>SUM(G54:G67)</f>
        <v>1381560.8499999999</v>
      </c>
      <c r="H53" s="18"/>
      <c r="I53" s="18"/>
      <c r="J53" s="48">
        <f>SUM(J54:J67)</f>
        <v>1486429.5252</v>
      </c>
      <c r="K53" s="18"/>
      <c r="L53" s="18"/>
      <c r="M53" s="49"/>
    </row>
    <row r="54" spans="1:13" ht="36" x14ac:dyDescent="0.25">
      <c r="A54" s="19">
        <v>45</v>
      </c>
      <c r="B54" s="19" t="s">
        <v>171</v>
      </c>
      <c r="C54" s="20" t="s">
        <v>172</v>
      </c>
      <c r="D54" s="19" t="s">
        <v>149</v>
      </c>
      <c r="E54" s="21">
        <v>6</v>
      </c>
      <c r="F54" s="21">
        <v>18937.72</v>
      </c>
      <c r="G54" s="21">
        <v>113626.32</v>
      </c>
      <c r="H54" s="21">
        <v>6</v>
      </c>
      <c r="I54" s="21">
        <v>18937.72</v>
      </c>
      <c r="J54" s="21">
        <v>113626.32</v>
      </c>
      <c r="K54" s="21">
        <f t="shared" ref="K54:K67" si="3">J54-G54</f>
        <v>0</v>
      </c>
      <c r="L54" s="20"/>
      <c r="M54" s="49"/>
    </row>
    <row r="55" spans="1:13" ht="36" x14ac:dyDescent="0.25">
      <c r="A55" s="19">
        <v>46</v>
      </c>
      <c r="B55" s="19" t="s">
        <v>173</v>
      </c>
      <c r="C55" s="20" t="s">
        <v>174</v>
      </c>
      <c r="D55" s="19" t="s">
        <v>149</v>
      </c>
      <c r="E55" s="21">
        <v>6</v>
      </c>
      <c r="F55" s="21">
        <v>13900.43</v>
      </c>
      <c r="G55" s="21">
        <v>83402.58</v>
      </c>
      <c r="H55" s="21">
        <v>6</v>
      </c>
      <c r="I55" s="21">
        <v>13900.43</v>
      </c>
      <c r="J55" s="21">
        <v>83402.58</v>
      </c>
      <c r="K55" s="21">
        <f t="shared" si="3"/>
        <v>0</v>
      </c>
      <c r="L55" s="20"/>
      <c r="M55" s="49"/>
    </row>
    <row r="56" spans="1:13" ht="36" x14ac:dyDescent="0.25">
      <c r="A56" s="19">
        <v>47</v>
      </c>
      <c r="B56" s="19" t="s">
        <v>175</v>
      </c>
      <c r="C56" s="20" t="s">
        <v>176</v>
      </c>
      <c r="D56" s="19" t="s">
        <v>166</v>
      </c>
      <c r="E56" s="21">
        <v>1</v>
      </c>
      <c r="F56" s="21">
        <v>22101.22</v>
      </c>
      <c r="G56" s="21">
        <v>22101.22</v>
      </c>
      <c r="H56" s="21">
        <v>1</v>
      </c>
      <c r="I56" s="21">
        <v>22101.22</v>
      </c>
      <c r="J56" s="21">
        <v>22101.22</v>
      </c>
      <c r="K56" s="21">
        <f t="shared" si="3"/>
        <v>0</v>
      </c>
      <c r="L56" s="20"/>
      <c r="M56" s="49"/>
    </row>
    <row r="57" spans="1:13" ht="36" x14ac:dyDescent="0.25">
      <c r="A57" s="19">
        <v>48</v>
      </c>
      <c r="B57" s="19" t="s">
        <v>177</v>
      </c>
      <c r="C57" s="20" t="s">
        <v>178</v>
      </c>
      <c r="D57" s="19" t="s">
        <v>152</v>
      </c>
      <c r="E57" s="21">
        <v>1</v>
      </c>
      <c r="F57" s="21">
        <v>14610.25</v>
      </c>
      <c r="G57" s="21">
        <v>14610.25</v>
      </c>
      <c r="H57" s="21">
        <v>1</v>
      </c>
      <c r="I57" s="21">
        <v>14610.25</v>
      </c>
      <c r="J57" s="21">
        <v>14610.25</v>
      </c>
      <c r="K57" s="21">
        <f t="shared" si="3"/>
        <v>0</v>
      </c>
      <c r="L57" s="20"/>
      <c r="M57" s="49"/>
    </row>
    <row r="58" spans="1:13" ht="36" x14ac:dyDescent="0.25">
      <c r="A58" s="19">
        <v>49</v>
      </c>
      <c r="B58" s="19" t="s">
        <v>179</v>
      </c>
      <c r="C58" s="20" t="s">
        <v>180</v>
      </c>
      <c r="D58" s="19" t="s">
        <v>146</v>
      </c>
      <c r="E58" s="21">
        <v>1</v>
      </c>
      <c r="F58" s="21">
        <v>89735.27</v>
      </c>
      <c r="G58" s="21">
        <v>89735.27</v>
      </c>
      <c r="H58" s="21">
        <v>1</v>
      </c>
      <c r="I58" s="21">
        <v>89735.27</v>
      </c>
      <c r="J58" s="21">
        <v>89735.27</v>
      </c>
      <c r="K58" s="21">
        <f t="shared" si="3"/>
        <v>0</v>
      </c>
      <c r="L58" s="20"/>
      <c r="M58" s="49"/>
    </row>
    <row r="59" spans="1:13" ht="36" x14ac:dyDescent="0.25">
      <c r="A59" s="19">
        <v>50</v>
      </c>
      <c r="B59" s="19" t="s">
        <v>181</v>
      </c>
      <c r="C59" s="20" t="s">
        <v>182</v>
      </c>
      <c r="D59" s="19" t="s">
        <v>149</v>
      </c>
      <c r="E59" s="21">
        <v>4</v>
      </c>
      <c r="F59" s="21">
        <v>24522.44</v>
      </c>
      <c r="G59" s="21">
        <v>98089.76</v>
      </c>
      <c r="H59" s="21">
        <v>4</v>
      </c>
      <c r="I59" s="21">
        <v>24522.44</v>
      </c>
      <c r="J59" s="21">
        <v>98089.76</v>
      </c>
      <c r="K59" s="21">
        <f t="shared" si="3"/>
        <v>0</v>
      </c>
      <c r="L59" s="20"/>
      <c r="M59" s="49"/>
    </row>
    <row r="60" spans="1:13" ht="36" x14ac:dyDescent="0.25">
      <c r="A60" s="19">
        <v>51</v>
      </c>
      <c r="B60" s="19" t="s">
        <v>183</v>
      </c>
      <c r="C60" s="20" t="s">
        <v>184</v>
      </c>
      <c r="D60" s="19" t="s">
        <v>152</v>
      </c>
      <c r="E60" s="21">
        <v>1</v>
      </c>
      <c r="F60" s="21">
        <v>37832.42</v>
      </c>
      <c r="G60" s="21">
        <v>37832.42</v>
      </c>
      <c r="H60" s="21">
        <v>1</v>
      </c>
      <c r="I60" s="21">
        <v>37832.42</v>
      </c>
      <c r="J60" s="21">
        <v>37832.42</v>
      </c>
      <c r="K60" s="21">
        <f t="shared" si="3"/>
        <v>0</v>
      </c>
      <c r="L60" s="20"/>
      <c r="M60" s="49"/>
    </row>
    <row r="61" spans="1:13" ht="36" x14ac:dyDescent="0.25">
      <c r="A61" s="19">
        <v>52</v>
      </c>
      <c r="B61" s="19" t="s">
        <v>185</v>
      </c>
      <c r="C61" s="20" t="s">
        <v>186</v>
      </c>
      <c r="D61" s="19" t="s">
        <v>152</v>
      </c>
      <c r="E61" s="21">
        <v>1</v>
      </c>
      <c r="F61" s="21">
        <v>32810.67</v>
      </c>
      <c r="G61" s="21">
        <v>32810.67</v>
      </c>
      <c r="H61" s="21">
        <v>1</v>
      </c>
      <c r="I61" s="21">
        <v>32810.67</v>
      </c>
      <c r="J61" s="21">
        <v>32810.67</v>
      </c>
      <c r="K61" s="21">
        <f t="shared" si="3"/>
        <v>0</v>
      </c>
      <c r="L61" s="20"/>
      <c r="M61" s="49"/>
    </row>
    <row r="62" spans="1:13" ht="36" x14ac:dyDescent="0.25">
      <c r="A62" s="19">
        <v>53</v>
      </c>
      <c r="B62" s="19" t="s">
        <v>187</v>
      </c>
      <c r="C62" s="20" t="s">
        <v>188</v>
      </c>
      <c r="D62" s="19" t="s">
        <v>152</v>
      </c>
      <c r="E62" s="21">
        <v>1</v>
      </c>
      <c r="F62" s="21">
        <v>20925.939999999999</v>
      </c>
      <c r="G62" s="21">
        <v>20925.939999999999</v>
      </c>
      <c r="H62" s="21">
        <v>1</v>
      </c>
      <c r="I62" s="21">
        <v>20925.939999999999</v>
      </c>
      <c r="J62" s="21">
        <v>20925.939999999999</v>
      </c>
      <c r="K62" s="21">
        <f t="shared" si="3"/>
        <v>0</v>
      </c>
      <c r="L62" s="20"/>
      <c r="M62" s="49"/>
    </row>
    <row r="63" spans="1:13" ht="36" x14ac:dyDescent="0.25">
      <c r="A63" s="19">
        <v>54</v>
      </c>
      <c r="B63" s="19" t="s">
        <v>189</v>
      </c>
      <c r="C63" s="20" t="s">
        <v>190</v>
      </c>
      <c r="D63" s="19" t="s">
        <v>149</v>
      </c>
      <c r="E63" s="21">
        <v>6</v>
      </c>
      <c r="F63" s="21">
        <v>4833.28</v>
      </c>
      <c r="G63" s="21">
        <v>28999.68</v>
      </c>
      <c r="H63" s="21">
        <v>6</v>
      </c>
      <c r="I63" s="21">
        <v>4833.28</v>
      </c>
      <c r="J63" s="21">
        <v>28999.68</v>
      </c>
      <c r="K63" s="21">
        <f t="shared" si="3"/>
        <v>0</v>
      </c>
      <c r="L63" s="20"/>
      <c r="M63" s="49"/>
    </row>
    <row r="64" spans="1:13" ht="24" x14ac:dyDescent="0.25">
      <c r="A64" s="19">
        <v>55</v>
      </c>
      <c r="B64" s="19" t="s">
        <v>191</v>
      </c>
      <c r="C64" s="20" t="s">
        <v>192</v>
      </c>
      <c r="D64" s="19" t="s">
        <v>152</v>
      </c>
      <c r="E64" s="21">
        <v>1</v>
      </c>
      <c r="F64" s="21">
        <v>16053.24</v>
      </c>
      <c r="G64" s="21">
        <v>16053.24</v>
      </c>
      <c r="H64" s="21">
        <v>1</v>
      </c>
      <c r="I64" s="21">
        <v>16053.24</v>
      </c>
      <c r="J64" s="21">
        <v>16053.24</v>
      </c>
      <c r="K64" s="21">
        <f t="shared" si="3"/>
        <v>0</v>
      </c>
      <c r="L64" s="20"/>
      <c r="M64" s="49"/>
    </row>
    <row r="65" spans="1:13" ht="36" x14ac:dyDescent="0.25">
      <c r="A65" s="22">
        <v>56</v>
      </c>
      <c r="B65" s="22" t="s">
        <v>193</v>
      </c>
      <c r="C65" s="23" t="s">
        <v>194</v>
      </c>
      <c r="D65" s="22" t="s">
        <v>149</v>
      </c>
      <c r="E65" s="24">
        <v>6</v>
      </c>
      <c r="F65" s="24">
        <v>131181.68</v>
      </c>
      <c r="G65" s="24">
        <v>787090.08</v>
      </c>
      <c r="H65" s="24">
        <v>6</v>
      </c>
      <c r="I65" s="24">
        <v>119575.0242</v>
      </c>
      <c r="J65" s="24">
        <v>717450.14520000003</v>
      </c>
      <c r="K65" s="24">
        <f t="shared" si="3"/>
        <v>-69639.93479999993</v>
      </c>
      <c r="L65" s="23" t="s">
        <v>195</v>
      </c>
      <c r="M65" s="49"/>
    </row>
    <row r="66" spans="1:13" ht="36" x14ac:dyDescent="0.25">
      <c r="A66" s="22">
        <v>57</v>
      </c>
      <c r="B66" s="22" t="s">
        <v>196</v>
      </c>
      <c r="C66" s="23" t="s">
        <v>197</v>
      </c>
      <c r="D66" s="22" t="s">
        <v>149</v>
      </c>
      <c r="E66" s="24">
        <v>1</v>
      </c>
      <c r="F66" s="24">
        <v>19046.48</v>
      </c>
      <c r="G66" s="24">
        <v>19046.48</v>
      </c>
      <c r="H66" s="24">
        <v>6</v>
      </c>
      <c r="I66" s="24">
        <v>14816.8388</v>
      </c>
      <c r="J66" s="24">
        <v>88901.032800000001</v>
      </c>
      <c r="K66" s="24">
        <f t="shared" si="3"/>
        <v>69854.552800000005</v>
      </c>
      <c r="L66" s="23" t="s">
        <v>198</v>
      </c>
      <c r="M66" s="49"/>
    </row>
    <row r="67" spans="1:13" ht="48" x14ac:dyDescent="0.25">
      <c r="A67" s="22">
        <v>58</v>
      </c>
      <c r="B67" s="22" t="s">
        <v>199</v>
      </c>
      <c r="C67" s="23" t="s">
        <v>200</v>
      </c>
      <c r="D67" s="22" t="s">
        <v>149</v>
      </c>
      <c r="E67" s="24">
        <v>1</v>
      </c>
      <c r="F67" s="24">
        <v>17236.939999999999</v>
      </c>
      <c r="G67" s="24">
        <v>17236.939999999999</v>
      </c>
      <c r="H67" s="24">
        <v>6</v>
      </c>
      <c r="I67" s="24">
        <v>20315.1662</v>
      </c>
      <c r="J67" s="24">
        <v>121890.9972</v>
      </c>
      <c r="K67" s="24">
        <f t="shared" si="3"/>
        <v>104654.0572</v>
      </c>
      <c r="L67" s="23" t="s">
        <v>201</v>
      </c>
      <c r="M67" s="49"/>
    </row>
    <row r="68" spans="1:13" x14ac:dyDescent="0.25">
      <c r="A68" s="18" t="s">
        <v>33</v>
      </c>
      <c r="B68" s="18"/>
      <c r="C68" s="18"/>
      <c r="D68" s="18"/>
      <c r="E68" s="18"/>
      <c r="F68" s="18"/>
      <c r="G68" s="48">
        <f>SUM(G69)</f>
        <v>8849.64</v>
      </c>
      <c r="H68" s="18"/>
      <c r="I68" s="18"/>
      <c r="J68" s="48">
        <f>J69</f>
        <v>8849.64</v>
      </c>
      <c r="K68" s="18"/>
      <c r="L68" s="18"/>
      <c r="M68" s="49"/>
    </row>
    <row r="69" spans="1:13" ht="24" x14ac:dyDescent="0.25">
      <c r="A69" s="19">
        <v>59</v>
      </c>
      <c r="B69" s="19" t="s">
        <v>202</v>
      </c>
      <c r="C69" s="20" t="s">
        <v>203</v>
      </c>
      <c r="D69" s="19" t="s">
        <v>2</v>
      </c>
      <c r="E69" s="21">
        <v>3</v>
      </c>
      <c r="F69" s="21">
        <v>2949.88</v>
      </c>
      <c r="G69" s="21">
        <v>8849.64</v>
      </c>
      <c r="H69" s="21">
        <v>3</v>
      </c>
      <c r="I69" s="21">
        <v>2949.88</v>
      </c>
      <c r="J69" s="21">
        <v>8849.64</v>
      </c>
      <c r="K69" s="21">
        <f>J69-G69</f>
        <v>0</v>
      </c>
      <c r="L69" s="20"/>
      <c r="M69" s="49"/>
    </row>
    <row r="70" spans="1:13" x14ac:dyDescent="0.25">
      <c r="A70" s="18" t="s">
        <v>204</v>
      </c>
      <c r="B70" s="18"/>
      <c r="C70" s="18"/>
      <c r="D70" s="18"/>
      <c r="E70" s="18"/>
      <c r="F70" s="18"/>
      <c r="G70" s="48">
        <f>SUM(G71:G82)</f>
        <v>1034844.83</v>
      </c>
      <c r="H70" s="18"/>
      <c r="I70" s="18"/>
      <c r="J70" s="48">
        <f>SUM(J71:J82)</f>
        <v>1042573.1799999999</v>
      </c>
      <c r="K70" s="18"/>
      <c r="L70" s="18"/>
      <c r="M70" s="49"/>
    </row>
    <row r="71" spans="1:13" ht="24" x14ac:dyDescent="0.25">
      <c r="A71" s="19">
        <v>60</v>
      </c>
      <c r="B71" s="19" t="s">
        <v>205</v>
      </c>
      <c r="C71" s="20" t="s">
        <v>206</v>
      </c>
      <c r="D71" s="19" t="s">
        <v>8</v>
      </c>
      <c r="E71" s="21">
        <v>66.83</v>
      </c>
      <c r="F71" s="21">
        <v>2638.72</v>
      </c>
      <c r="G71" s="21">
        <v>176345.66</v>
      </c>
      <c r="H71" s="21">
        <v>66.83</v>
      </c>
      <c r="I71" s="21">
        <v>2638.72</v>
      </c>
      <c r="J71" s="21">
        <v>176345.66</v>
      </c>
      <c r="K71" s="21">
        <f t="shared" ref="K71:K82" si="4">J71-G71</f>
        <v>0</v>
      </c>
      <c r="L71" s="20"/>
      <c r="M71" s="49"/>
    </row>
    <row r="72" spans="1:13" ht="72" x14ac:dyDescent="0.25">
      <c r="A72" s="19">
        <v>61</v>
      </c>
      <c r="B72" s="19" t="s">
        <v>207</v>
      </c>
      <c r="C72" s="20" t="s">
        <v>208</v>
      </c>
      <c r="D72" s="19" t="s">
        <v>8</v>
      </c>
      <c r="E72" s="21">
        <v>45.12</v>
      </c>
      <c r="F72" s="21">
        <v>2950.94</v>
      </c>
      <c r="G72" s="21">
        <v>133146.41</v>
      </c>
      <c r="H72" s="21">
        <v>45.12</v>
      </c>
      <c r="I72" s="21">
        <v>2950.94</v>
      </c>
      <c r="J72" s="21">
        <v>133146.41</v>
      </c>
      <c r="K72" s="21">
        <f t="shared" si="4"/>
        <v>0</v>
      </c>
      <c r="L72" s="20"/>
      <c r="M72" s="49"/>
    </row>
    <row r="73" spans="1:13" ht="36" x14ac:dyDescent="0.25">
      <c r="A73" s="19">
        <v>62</v>
      </c>
      <c r="B73" s="19" t="s">
        <v>209</v>
      </c>
      <c r="C73" s="20" t="s">
        <v>210</v>
      </c>
      <c r="D73" s="19" t="s">
        <v>8</v>
      </c>
      <c r="E73" s="21">
        <v>106.14</v>
      </c>
      <c r="F73" s="21">
        <v>341.41</v>
      </c>
      <c r="G73" s="21">
        <v>36237.26</v>
      </c>
      <c r="H73" s="21">
        <v>106.14</v>
      </c>
      <c r="I73" s="21">
        <v>341.41</v>
      </c>
      <c r="J73" s="21">
        <v>36237.26</v>
      </c>
      <c r="K73" s="21">
        <f t="shared" si="4"/>
        <v>0</v>
      </c>
      <c r="L73" s="20"/>
      <c r="M73" s="49"/>
    </row>
    <row r="74" spans="1:13" ht="24" x14ac:dyDescent="0.25">
      <c r="A74" s="19">
        <v>63</v>
      </c>
      <c r="B74" s="19" t="s">
        <v>211</v>
      </c>
      <c r="C74" s="20" t="s">
        <v>212</v>
      </c>
      <c r="D74" s="19" t="s">
        <v>149</v>
      </c>
      <c r="E74" s="21">
        <v>6</v>
      </c>
      <c r="F74" s="21">
        <v>30070.3</v>
      </c>
      <c r="G74" s="21">
        <v>180421.8</v>
      </c>
      <c r="H74" s="21">
        <v>6</v>
      </c>
      <c r="I74" s="21">
        <v>30070.3</v>
      </c>
      <c r="J74" s="21">
        <v>180421.8</v>
      </c>
      <c r="K74" s="21">
        <f t="shared" si="4"/>
        <v>0</v>
      </c>
      <c r="L74" s="20"/>
      <c r="M74" s="49"/>
    </row>
    <row r="75" spans="1:13" ht="24" x14ac:dyDescent="0.25">
      <c r="A75" s="19">
        <v>64</v>
      </c>
      <c r="B75" s="19" t="s">
        <v>213</v>
      </c>
      <c r="C75" s="20" t="s">
        <v>214</v>
      </c>
      <c r="D75" s="19" t="s">
        <v>152</v>
      </c>
      <c r="E75" s="21">
        <v>1</v>
      </c>
      <c r="F75" s="21">
        <v>42696.27</v>
      </c>
      <c r="G75" s="21">
        <v>42696.27</v>
      </c>
      <c r="H75" s="21">
        <v>1</v>
      </c>
      <c r="I75" s="21">
        <v>42696.27</v>
      </c>
      <c r="J75" s="21">
        <v>42696.27</v>
      </c>
      <c r="K75" s="21">
        <f t="shared" si="4"/>
        <v>0</v>
      </c>
      <c r="L75" s="20"/>
      <c r="M75" s="49"/>
    </row>
    <row r="76" spans="1:13" ht="24" x14ac:dyDescent="0.25">
      <c r="A76" s="19">
        <v>65</v>
      </c>
      <c r="B76" s="19" t="s">
        <v>215</v>
      </c>
      <c r="C76" s="20" t="s">
        <v>216</v>
      </c>
      <c r="D76" s="19" t="s">
        <v>152</v>
      </c>
      <c r="E76" s="21">
        <v>1</v>
      </c>
      <c r="F76" s="21">
        <v>95969.76</v>
      </c>
      <c r="G76" s="21">
        <v>95969.76</v>
      </c>
      <c r="H76" s="21">
        <v>1</v>
      </c>
      <c r="I76" s="21">
        <v>95969.76</v>
      </c>
      <c r="J76" s="21">
        <v>95969.76</v>
      </c>
      <c r="K76" s="21">
        <f t="shared" si="4"/>
        <v>0</v>
      </c>
      <c r="L76" s="20"/>
      <c r="M76" s="49">
        <v>928242.17520000006</v>
      </c>
    </row>
    <row r="77" spans="1:13" ht="24" x14ac:dyDescent="0.25">
      <c r="A77" s="19">
        <v>66</v>
      </c>
      <c r="B77" s="19" t="s">
        <v>217</v>
      </c>
      <c r="C77" s="20" t="s">
        <v>218</v>
      </c>
      <c r="D77" s="19" t="s">
        <v>125</v>
      </c>
      <c r="E77" s="21">
        <v>3</v>
      </c>
      <c r="F77" s="21">
        <v>18265.96</v>
      </c>
      <c r="G77" s="21">
        <v>54797.88</v>
      </c>
      <c r="H77" s="21">
        <v>3</v>
      </c>
      <c r="I77" s="21">
        <v>18265.96</v>
      </c>
      <c r="J77" s="21">
        <v>54797.88</v>
      </c>
      <c r="K77" s="21">
        <f t="shared" si="4"/>
        <v>0</v>
      </c>
      <c r="L77" s="20"/>
      <c r="M77" s="49"/>
    </row>
    <row r="78" spans="1:13" x14ac:dyDescent="0.25">
      <c r="A78" s="19">
        <v>67</v>
      </c>
      <c r="B78" s="19" t="s">
        <v>219</v>
      </c>
      <c r="C78" s="20" t="s">
        <v>220</v>
      </c>
      <c r="D78" s="19" t="s">
        <v>4</v>
      </c>
      <c r="E78" s="21">
        <v>84</v>
      </c>
      <c r="F78" s="21">
        <v>405.98</v>
      </c>
      <c r="G78" s="21">
        <v>34102.32</v>
      </c>
      <c r="H78" s="21">
        <v>84</v>
      </c>
      <c r="I78" s="21">
        <v>405.98</v>
      </c>
      <c r="J78" s="21">
        <v>34102.32</v>
      </c>
      <c r="K78" s="21">
        <f t="shared" si="4"/>
        <v>0</v>
      </c>
      <c r="L78" s="20"/>
      <c r="M78" s="49"/>
    </row>
    <row r="79" spans="1:13" ht="24" x14ac:dyDescent="0.25">
      <c r="A79" s="19">
        <v>68</v>
      </c>
      <c r="B79" s="19" t="s">
        <v>221</v>
      </c>
      <c r="C79" s="20" t="s">
        <v>222</v>
      </c>
      <c r="D79" s="19" t="s">
        <v>4</v>
      </c>
      <c r="E79" s="21">
        <v>14.45</v>
      </c>
      <c r="F79" s="21">
        <v>1202.93</v>
      </c>
      <c r="G79" s="21">
        <v>17382.34</v>
      </c>
      <c r="H79" s="21">
        <v>14.45</v>
      </c>
      <c r="I79" s="21">
        <v>1202.93</v>
      </c>
      <c r="J79" s="21">
        <v>17382.34</v>
      </c>
      <c r="K79" s="21">
        <f t="shared" si="4"/>
        <v>0</v>
      </c>
      <c r="L79" s="20"/>
      <c r="M79" s="49"/>
    </row>
    <row r="80" spans="1:13" x14ac:dyDescent="0.25">
      <c r="A80" s="19">
        <v>69</v>
      </c>
      <c r="B80" s="19" t="s">
        <v>223</v>
      </c>
      <c r="C80" s="20" t="s">
        <v>224</v>
      </c>
      <c r="D80" s="19" t="s">
        <v>4</v>
      </c>
      <c r="E80" s="21">
        <v>70.099999999999994</v>
      </c>
      <c r="F80" s="21">
        <v>354.36</v>
      </c>
      <c r="G80" s="21">
        <v>24840.639999999999</v>
      </c>
      <c r="H80" s="21">
        <v>70.099999999999994</v>
      </c>
      <c r="I80" s="21">
        <v>354.36</v>
      </c>
      <c r="J80" s="21">
        <v>24840.639999999999</v>
      </c>
      <c r="K80" s="21">
        <f t="shared" si="4"/>
        <v>0</v>
      </c>
      <c r="L80" s="20"/>
      <c r="M80" s="49">
        <v>8849.64</v>
      </c>
    </row>
    <row r="81" spans="1:17" x14ac:dyDescent="0.25">
      <c r="A81" s="19">
        <v>70</v>
      </c>
      <c r="B81" s="19" t="s">
        <v>225</v>
      </c>
      <c r="C81" s="20" t="s">
        <v>226</v>
      </c>
      <c r="D81" s="19" t="s">
        <v>4</v>
      </c>
      <c r="E81" s="21">
        <v>466</v>
      </c>
      <c r="F81" s="21">
        <v>193.6</v>
      </c>
      <c r="G81" s="21">
        <v>90217.600000000006</v>
      </c>
      <c r="H81" s="21">
        <v>466</v>
      </c>
      <c r="I81" s="21">
        <v>193.6</v>
      </c>
      <c r="J81" s="21">
        <v>90217.600000000006</v>
      </c>
      <c r="K81" s="21">
        <f t="shared" si="4"/>
        <v>0</v>
      </c>
      <c r="L81" s="20"/>
      <c r="M81" s="49"/>
    </row>
    <row r="82" spans="1:17" ht="24" x14ac:dyDescent="0.25">
      <c r="A82" s="22">
        <v>71</v>
      </c>
      <c r="B82" s="22" t="s">
        <v>227</v>
      </c>
      <c r="C82" s="23" t="s">
        <v>228</v>
      </c>
      <c r="D82" s="22" t="s">
        <v>4</v>
      </c>
      <c r="E82" s="24">
        <v>70.099999999999994</v>
      </c>
      <c r="F82" s="24">
        <v>2121.0684000000001</v>
      </c>
      <c r="G82" s="24">
        <v>148686.89000000001</v>
      </c>
      <c r="H82" s="24">
        <v>70.099999999999994</v>
      </c>
      <c r="I82" s="24">
        <v>2231.3157999999999</v>
      </c>
      <c r="J82" s="24">
        <v>156415.24</v>
      </c>
      <c r="K82" s="24">
        <f t="shared" si="4"/>
        <v>7728.3499999999767</v>
      </c>
      <c r="L82" s="23" t="s">
        <v>229</v>
      </c>
      <c r="M82" s="49"/>
    </row>
    <row r="83" spans="1:17" x14ac:dyDescent="0.25">
      <c r="A83" s="18" t="s">
        <v>23</v>
      </c>
      <c r="B83" s="18"/>
      <c r="C83" s="18"/>
      <c r="D83" s="18"/>
      <c r="E83" s="18"/>
      <c r="F83" s="18"/>
      <c r="G83" s="48">
        <f>SUM(G84:G91)</f>
        <v>1387881.08</v>
      </c>
      <c r="H83" s="18"/>
      <c r="I83" s="18"/>
      <c r="J83" s="48">
        <f>SUM(J84:J91)</f>
        <v>1392513.9030700263</v>
      </c>
      <c r="K83" s="18"/>
      <c r="L83" s="18"/>
      <c r="M83" s="49">
        <v>1042573.1799999999</v>
      </c>
    </row>
    <row r="84" spans="1:17" ht="36" x14ac:dyDescent="0.25">
      <c r="A84" s="22">
        <v>72</v>
      </c>
      <c r="B84" s="22" t="s">
        <v>230</v>
      </c>
      <c r="C84" s="23" t="s">
        <v>10</v>
      </c>
      <c r="D84" s="22" t="s">
        <v>4</v>
      </c>
      <c r="E84" s="24">
        <v>37.79</v>
      </c>
      <c r="F84" s="24">
        <v>9774.6959999999999</v>
      </c>
      <c r="G84" s="24">
        <v>369385.76</v>
      </c>
      <c r="H84" s="24">
        <v>37.79</v>
      </c>
      <c r="I84" s="24">
        <v>7195.0107600000001</v>
      </c>
      <c r="J84" s="24">
        <v>271899.45662040001</v>
      </c>
      <c r="K84" s="24">
        <f t="shared" ref="K84:K91" si="5">J84-G84</f>
        <v>-97486.303379599995</v>
      </c>
      <c r="L84" s="23" t="s">
        <v>231</v>
      </c>
      <c r="M84" s="49"/>
    </row>
    <row r="85" spans="1:17" ht="36" x14ac:dyDescent="0.25">
      <c r="A85" s="22">
        <v>73</v>
      </c>
      <c r="B85" s="22" t="s">
        <v>232</v>
      </c>
      <c r="C85" s="23" t="s">
        <v>11</v>
      </c>
      <c r="D85" s="22" t="s">
        <v>4</v>
      </c>
      <c r="E85" s="24">
        <v>16.8</v>
      </c>
      <c r="F85" s="24">
        <v>6904.9323999999997</v>
      </c>
      <c r="G85" s="24">
        <v>116002.86</v>
      </c>
      <c r="H85" s="24">
        <v>16.8</v>
      </c>
      <c r="I85" s="24">
        <v>7195.0107600000001</v>
      </c>
      <c r="J85" s="24">
        <v>120876.18076800001</v>
      </c>
      <c r="K85" s="24">
        <f t="shared" si="5"/>
        <v>4873.320768000005</v>
      </c>
      <c r="L85" s="23" t="s">
        <v>233</v>
      </c>
      <c r="M85" s="49"/>
    </row>
    <row r="86" spans="1:17" ht="48" x14ac:dyDescent="0.25">
      <c r="A86" s="22">
        <v>74</v>
      </c>
      <c r="B86" s="22" t="s">
        <v>234</v>
      </c>
      <c r="C86" s="23" t="s">
        <v>235</v>
      </c>
      <c r="D86" s="22" t="s">
        <v>236</v>
      </c>
      <c r="E86" s="24">
        <v>1</v>
      </c>
      <c r="F86" s="24">
        <v>18457.84</v>
      </c>
      <c r="G86" s="24">
        <v>18457.84</v>
      </c>
      <c r="H86" s="24">
        <v>1</v>
      </c>
      <c r="I86" s="24">
        <v>20963.136600000002</v>
      </c>
      <c r="J86" s="24">
        <v>20963.136600000002</v>
      </c>
      <c r="K86" s="24">
        <f t="shared" si="5"/>
        <v>2505.2966000000015</v>
      </c>
      <c r="L86" s="23" t="s">
        <v>237</v>
      </c>
      <c r="M86" s="49"/>
    </row>
    <row r="87" spans="1:17" ht="60" x14ac:dyDescent="0.25">
      <c r="A87" s="22">
        <v>75</v>
      </c>
      <c r="B87" s="22" t="s">
        <v>238</v>
      </c>
      <c r="C87" s="23" t="s">
        <v>239</v>
      </c>
      <c r="D87" s="22" t="s">
        <v>236</v>
      </c>
      <c r="E87" s="24">
        <v>3</v>
      </c>
      <c r="F87" s="24">
        <v>12192.43</v>
      </c>
      <c r="G87" s="24">
        <v>36577.29</v>
      </c>
      <c r="H87" s="24">
        <v>3</v>
      </c>
      <c r="I87" s="24">
        <v>16327.9786</v>
      </c>
      <c r="J87" s="24">
        <v>48983.935799999999</v>
      </c>
      <c r="K87" s="24">
        <f t="shared" si="5"/>
        <v>12406.645799999998</v>
      </c>
      <c r="L87" s="23" t="s">
        <v>237</v>
      </c>
      <c r="M87" s="49"/>
    </row>
    <row r="88" spans="1:17" ht="48" x14ac:dyDescent="0.25">
      <c r="A88" s="22">
        <v>76</v>
      </c>
      <c r="B88" s="22" t="s">
        <v>240</v>
      </c>
      <c r="C88" s="23" t="s">
        <v>241</v>
      </c>
      <c r="D88" s="22" t="s">
        <v>236</v>
      </c>
      <c r="E88" s="24">
        <v>1</v>
      </c>
      <c r="F88" s="24">
        <v>23152.63</v>
      </c>
      <c r="G88" s="24">
        <v>23152.63</v>
      </c>
      <c r="H88" s="24">
        <v>1</v>
      </c>
      <c r="I88" s="24">
        <v>22612.835599999999</v>
      </c>
      <c r="J88" s="24">
        <v>22612.835599999999</v>
      </c>
      <c r="K88" s="24">
        <f t="shared" si="5"/>
        <v>-539.7944000000025</v>
      </c>
      <c r="L88" s="23" t="s">
        <v>237</v>
      </c>
      <c r="M88" s="49"/>
    </row>
    <row r="89" spans="1:17" ht="36" x14ac:dyDescent="0.25">
      <c r="A89" s="22">
        <v>77</v>
      </c>
      <c r="B89" s="22" t="s">
        <v>242</v>
      </c>
      <c r="C89" s="23" t="s">
        <v>243</v>
      </c>
      <c r="D89" s="22" t="s">
        <v>8</v>
      </c>
      <c r="E89" s="24">
        <v>11.2</v>
      </c>
      <c r="F89" s="24">
        <v>9832.2065999999995</v>
      </c>
      <c r="G89" s="24">
        <v>110120.71</v>
      </c>
      <c r="H89" s="24">
        <v>11.2</v>
      </c>
      <c r="I89" s="24">
        <v>7444.5025083333303</v>
      </c>
      <c r="J89" s="24">
        <v>83378.428093333307</v>
      </c>
      <c r="K89" s="24">
        <f t="shared" si="5"/>
        <v>-26742.2819066667</v>
      </c>
      <c r="L89" s="23" t="s">
        <v>244</v>
      </c>
      <c r="M89" s="49"/>
    </row>
    <row r="90" spans="1:17" ht="36" x14ac:dyDescent="0.25">
      <c r="A90" s="22">
        <v>78</v>
      </c>
      <c r="B90" s="22" t="s">
        <v>245</v>
      </c>
      <c r="C90" s="23" t="s">
        <v>246</v>
      </c>
      <c r="D90" s="22" t="s">
        <v>3</v>
      </c>
      <c r="E90" s="24">
        <v>44</v>
      </c>
      <c r="F90" s="24">
        <v>9516.6344000000008</v>
      </c>
      <c r="G90" s="24">
        <v>418731.91</v>
      </c>
      <c r="H90" s="24">
        <v>44</v>
      </c>
      <c r="I90" s="24">
        <v>10486.2516495455</v>
      </c>
      <c r="J90" s="24">
        <v>461395.07258000202</v>
      </c>
      <c r="K90" s="24">
        <f t="shared" si="5"/>
        <v>42663.162580002041</v>
      </c>
      <c r="L90" s="23" t="s">
        <v>247</v>
      </c>
      <c r="M90" s="49"/>
    </row>
    <row r="91" spans="1:17" ht="36" x14ac:dyDescent="0.25">
      <c r="A91" s="22">
        <v>79</v>
      </c>
      <c r="B91" s="22" t="s">
        <v>248</v>
      </c>
      <c r="C91" s="23" t="s">
        <v>249</v>
      </c>
      <c r="D91" s="22" t="s">
        <v>8</v>
      </c>
      <c r="E91" s="24">
        <v>34.56</v>
      </c>
      <c r="F91" s="24">
        <v>8548.9606000000003</v>
      </c>
      <c r="G91" s="24">
        <v>295452.08</v>
      </c>
      <c r="H91" s="24">
        <v>34.56</v>
      </c>
      <c r="I91" s="24">
        <v>10486.2516495455</v>
      </c>
      <c r="J91" s="24">
        <v>362404.857008291</v>
      </c>
      <c r="K91" s="24">
        <f t="shared" si="5"/>
        <v>66952.777008290985</v>
      </c>
      <c r="L91" s="23" t="s">
        <v>250</v>
      </c>
      <c r="M91" s="49"/>
      <c r="P91" s="1" t="s">
        <v>469</v>
      </c>
      <c r="Q91" s="1" t="s">
        <v>473</v>
      </c>
    </row>
    <row r="92" spans="1:17" x14ac:dyDescent="0.25">
      <c r="A92" s="18" t="s">
        <v>36</v>
      </c>
      <c r="B92" s="18"/>
      <c r="C92" s="18"/>
      <c r="D92" s="18"/>
      <c r="E92" s="18"/>
      <c r="F92" s="18"/>
      <c r="G92" s="48">
        <f>SUM(G93:G106)</f>
        <v>2626497.9</v>
      </c>
      <c r="H92" s="18"/>
      <c r="I92" s="18"/>
      <c r="J92" s="48">
        <f>SUM(J93:J106)</f>
        <v>2319104.8349539996</v>
      </c>
      <c r="K92" s="18"/>
      <c r="L92" s="18"/>
      <c r="M92" s="49"/>
      <c r="N92" s="1" t="s">
        <v>472</v>
      </c>
      <c r="P92" s="27">
        <f>G94+G100</f>
        <v>1167000.92</v>
      </c>
      <c r="Q92" s="27">
        <f>J94+J100</f>
        <v>955856.86102800001</v>
      </c>
    </row>
    <row r="93" spans="1:17" ht="24" x14ac:dyDescent="0.25">
      <c r="A93" s="19">
        <v>80</v>
      </c>
      <c r="B93" s="19" t="s">
        <v>251</v>
      </c>
      <c r="C93" s="20" t="s">
        <v>252</v>
      </c>
      <c r="D93" s="19" t="s">
        <v>8</v>
      </c>
      <c r="E93" s="21">
        <v>453.04</v>
      </c>
      <c r="F93" s="21">
        <v>361.24</v>
      </c>
      <c r="G93" s="21">
        <v>163656.17000000001</v>
      </c>
      <c r="H93" s="21">
        <v>453.04</v>
      </c>
      <c r="I93" s="21">
        <v>361.24</v>
      </c>
      <c r="J93" s="21">
        <f>H93*I93</f>
        <v>163656.16960000002</v>
      </c>
      <c r="K93" s="21">
        <f t="shared" ref="K93:K106" si="6">J93-G93</f>
        <v>-3.9999998989515007E-4</v>
      </c>
      <c r="L93" s="20"/>
      <c r="M93" s="49"/>
      <c r="N93" s="1" t="s">
        <v>474</v>
      </c>
      <c r="P93" s="28">
        <f>G95+G101</f>
        <v>70449.820000000007</v>
      </c>
      <c r="Q93" s="27">
        <f>J95+J101</f>
        <v>75242.641650000005</v>
      </c>
    </row>
    <row r="94" spans="1:17" ht="48" x14ac:dyDescent="0.25">
      <c r="A94" s="22">
        <v>81</v>
      </c>
      <c r="B94" s="22" t="s">
        <v>253</v>
      </c>
      <c r="C94" s="23" t="s">
        <v>254</v>
      </c>
      <c r="D94" s="22" t="s">
        <v>8</v>
      </c>
      <c r="E94" s="24">
        <v>426.04</v>
      </c>
      <c r="F94" s="24">
        <v>2129.31</v>
      </c>
      <c r="G94" s="33">
        <v>907171.23</v>
      </c>
      <c r="H94" s="24">
        <v>426.04</v>
      </c>
      <c r="I94" s="24">
        <v>1633.7132000000001</v>
      </c>
      <c r="J94" s="21">
        <f t="shared" ref="J94:J106" si="7">H94*I94</f>
        <v>696027.17172800004</v>
      </c>
      <c r="K94" s="24">
        <f t="shared" si="6"/>
        <v>-211144.05827199994</v>
      </c>
      <c r="L94" s="23" t="s">
        <v>255</v>
      </c>
      <c r="M94" s="49"/>
      <c r="N94" s="1" t="s">
        <v>475</v>
      </c>
      <c r="P94" s="28">
        <f>G96+G105+G106</f>
        <v>92169.75</v>
      </c>
      <c r="Q94" s="28">
        <f>J96+J105+J106</f>
        <v>76305.09599999999</v>
      </c>
    </row>
    <row r="95" spans="1:17" ht="72" x14ac:dyDescent="0.25">
      <c r="A95" s="22">
        <v>82</v>
      </c>
      <c r="B95" s="22" t="s">
        <v>256</v>
      </c>
      <c r="C95" s="23" t="s">
        <v>257</v>
      </c>
      <c r="D95" s="22" t="s">
        <v>8</v>
      </c>
      <c r="E95" s="24">
        <v>27</v>
      </c>
      <c r="F95" s="24">
        <v>2129.31</v>
      </c>
      <c r="G95" s="33">
        <v>57491.37</v>
      </c>
      <c r="H95" s="24">
        <v>27</v>
      </c>
      <c r="I95" s="24">
        <v>2306.82195</v>
      </c>
      <c r="J95" s="21">
        <f t="shared" si="7"/>
        <v>62284.192649999997</v>
      </c>
      <c r="K95" s="24">
        <f t="shared" si="6"/>
        <v>4792.8226499999946</v>
      </c>
      <c r="L95" s="23" t="s">
        <v>258</v>
      </c>
      <c r="M95" s="49"/>
      <c r="N95" s="1" t="s">
        <v>476</v>
      </c>
      <c r="P95" s="28">
        <f>G99</f>
        <v>30502.77</v>
      </c>
      <c r="Q95" s="28">
        <f>J99</f>
        <v>23760.565763999999</v>
      </c>
    </row>
    <row r="96" spans="1:17" ht="36" x14ac:dyDescent="0.25">
      <c r="A96" s="22">
        <v>83</v>
      </c>
      <c r="B96" s="22" t="s">
        <v>259</v>
      </c>
      <c r="C96" s="23" t="s">
        <v>7</v>
      </c>
      <c r="D96" s="22" t="s">
        <v>8</v>
      </c>
      <c r="E96" s="24">
        <v>16.8</v>
      </c>
      <c r="F96" s="24">
        <v>3200.71</v>
      </c>
      <c r="G96" s="33">
        <v>53771.93</v>
      </c>
      <c r="H96" s="24">
        <v>12</v>
      </c>
      <c r="I96" s="24">
        <v>3158.94</v>
      </c>
      <c r="J96" s="21">
        <f t="shared" si="7"/>
        <v>37907.279999999999</v>
      </c>
      <c r="K96" s="24">
        <f t="shared" si="6"/>
        <v>-15864.650000000001</v>
      </c>
      <c r="L96" s="23" t="s">
        <v>260</v>
      </c>
      <c r="M96" s="49"/>
      <c r="N96" s="1" t="s">
        <v>477</v>
      </c>
      <c r="P96" s="27">
        <f>G102+G103</f>
        <v>342436.18</v>
      </c>
      <c r="Q96" s="27">
        <f>J102+J103</f>
        <v>324989.57691199996</v>
      </c>
    </row>
    <row r="97" spans="1:17" ht="36" x14ac:dyDescent="0.25">
      <c r="A97" s="22">
        <v>84</v>
      </c>
      <c r="B97" s="22" t="s">
        <v>261</v>
      </c>
      <c r="C97" s="23" t="s">
        <v>9</v>
      </c>
      <c r="D97" s="22" t="s">
        <v>8</v>
      </c>
      <c r="E97" s="24">
        <v>144.69999999999999</v>
      </c>
      <c r="F97" s="24">
        <v>3266.9</v>
      </c>
      <c r="G97" s="33">
        <v>472720.43</v>
      </c>
      <c r="H97" s="24">
        <v>100</v>
      </c>
      <c r="I97" s="24">
        <v>3266.8999999999996</v>
      </c>
      <c r="J97" s="21">
        <f t="shared" si="7"/>
        <v>326689.99999999994</v>
      </c>
      <c r="K97" s="24">
        <f t="shared" si="6"/>
        <v>-146030.43000000005</v>
      </c>
      <c r="L97" s="23" t="s">
        <v>262</v>
      </c>
      <c r="M97" s="49"/>
      <c r="N97" s="1" t="s">
        <v>12</v>
      </c>
      <c r="P97" s="27">
        <f>G104</f>
        <v>270541.03999999998</v>
      </c>
      <c r="Q97" s="28">
        <f>J104</f>
        <v>372603.924</v>
      </c>
    </row>
    <row r="98" spans="1:17" ht="24" x14ac:dyDescent="0.25">
      <c r="A98" s="22">
        <v>85</v>
      </c>
      <c r="B98" s="22" t="s">
        <v>263</v>
      </c>
      <c r="C98" s="23" t="s">
        <v>264</v>
      </c>
      <c r="D98" s="22" t="s">
        <v>8</v>
      </c>
      <c r="E98" s="24">
        <v>5.99</v>
      </c>
      <c r="F98" s="24">
        <v>2841.54</v>
      </c>
      <c r="G98" s="33">
        <v>17020.82</v>
      </c>
      <c r="H98" s="24">
        <v>0</v>
      </c>
      <c r="I98" s="24">
        <v>2841.54</v>
      </c>
      <c r="J98" s="21">
        <f t="shared" si="7"/>
        <v>0</v>
      </c>
      <c r="K98" s="24">
        <f t="shared" si="6"/>
        <v>-17020.82</v>
      </c>
      <c r="L98" s="23" t="s">
        <v>265</v>
      </c>
      <c r="M98" s="49"/>
      <c r="N98" s="1" t="s">
        <v>478</v>
      </c>
      <c r="P98" s="28">
        <f>G93</f>
        <v>163656.17000000001</v>
      </c>
      <c r="Q98" s="28">
        <f>J93</f>
        <v>163656.16960000002</v>
      </c>
    </row>
    <row r="99" spans="1:17" ht="36" x14ac:dyDescent="0.25">
      <c r="A99" s="22">
        <v>86</v>
      </c>
      <c r="B99" s="22" t="s">
        <v>266</v>
      </c>
      <c r="C99" s="23" t="s">
        <v>267</v>
      </c>
      <c r="D99" s="22" t="s">
        <v>8</v>
      </c>
      <c r="E99" s="24">
        <v>9.5299999999999994</v>
      </c>
      <c r="F99" s="24">
        <v>3200.71</v>
      </c>
      <c r="G99" s="33">
        <v>30502.77</v>
      </c>
      <c r="H99" s="24">
        <v>9.5299999999999994</v>
      </c>
      <c r="I99" s="24">
        <v>2493.2388000000001</v>
      </c>
      <c r="J99" s="21">
        <f t="shared" si="7"/>
        <v>23760.565763999999</v>
      </c>
      <c r="K99" s="24">
        <f t="shared" si="6"/>
        <v>-6742.2042360000014</v>
      </c>
      <c r="L99" s="23" t="s">
        <v>268</v>
      </c>
      <c r="M99" s="49">
        <v>1392513.9030700261</v>
      </c>
      <c r="N99" s="1" t="s">
        <v>479</v>
      </c>
      <c r="P99" s="27">
        <f>G97</f>
        <v>472720.43</v>
      </c>
      <c r="Q99" s="27">
        <f>J97</f>
        <v>326689.99999999994</v>
      </c>
    </row>
    <row r="100" spans="1:17" ht="24" x14ac:dyDescent="0.25">
      <c r="A100" s="19">
        <v>87</v>
      </c>
      <c r="B100" s="19" t="s">
        <v>269</v>
      </c>
      <c r="C100" s="20" t="s">
        <v>270</v>
      </c>
      <c r="D100" s="19" t="s">
        <v>4</v>
      </c>
      <c r="E100" s="21">
        <v>380.53</v>
      </c>
      <c r="F100" s="21">
        <v>682.81</v>
      </c>
      <c r="G100" s="34">
        <v>259829.69</v>
      </c>
      <c r="H100" s="21">
        <v>380.53</v>
      </c>
      <c r="I100" s="21">
        <v>682.81</v>
      </c>
      <c r="J100" s="21">
        <f t="shared" si="7"/>
        <v>259829.68929999997</v>
      </c>
      <c r="K100" s="21">
        <f t="shared" si="6"/>
        <v>-7.0000003324821591E-4</v>
      </c>
      <c r="L100" s="20"/>
      <c r="M100" s="49"/>
      <c r="N100" s="1" t="s">
        <v>480</v>
      </c>
      <c r="P100" s="28">
        <f>G98</f>
        <v>17020.82</v>
      </c>
      <c r="Q100" s="28">
        <f>J98</f>
        <v>0</v>
      </c>
    </row>
    <row r="101" spans="1:17" ht="24" x14ac:dyDescent="0.25">
      <c r="A101" s="19">
        <v>88</v>
      </c>
      <c r="B101" s="19" t="s">
        <v>271</v>
      </c>
      <c r="C101" s="20" t="s">
        <v>272</v>
      </c>
      <c r="D101" s="19" t="s">
        <v>4</v>
      </c>
      <c r="E101" s="21">
        <v>21.9</v>
      </c>
      <c r="F101" s="21">
        <v>591.71</v>
      </c>
      <c r="G101" s="34">
        <v>12958.45</v>
      </c>
      <c r="H101" s="21">
        <v>21.9</v>
      </c>
      <c r="I101" s="21">
        <v>591.71</v>
      </c>
      <c r="J101" s="21">
        <f t="shared" si="7"/>
        <v>12958.449000000001</v>
      </c>
      <c r="K101" s="21">
        <f t="shared" si="6"/>
        <v>-1.0000000002037268E-3</v>
      </c>
      <c r="L101" s="20"/>
      <c r="M101" s="49"/>
      <c r="P101" s="27">
        <f>SUM(P92:P100)</f>
        <v>2626497.9</v>
      </c>
      <c r="Q101" s="27">
        <f>SUM(Q92:Q100)</f>
        <v>2319104.8349540001</v>
      </c>
    </row>
    <row r="102" spans="1:17" ht="36" x14ac:dyDescent="0.25">
      <c r="A102" s="22">
        <v>89</v>
      </c>
      <c r="B102" s="22" t="s">
        <v>273</v>
      </c>
      <c r="C102" s="23" t="s">
        <v>274</v>
      </c>
      <c r="D102" s="22" t="s">
        <v>8</v>
      </c>
      <c r="E102" s="24">
        <v>62.44</v>
      </c>
      <c r="F102" s="24">
        <v>3482.45</v>
      </c>
      <c r="G102" s="33">
        <v>217444.18</v>
      </c>
      <c r="H102" s="24">
        <v>62.44</v>
      </c>
      <c r="I102" s="24">
        <v>2800.9987999999998</v>
      </c>
      <c r="J102" s="21">
        <f t="shared" si="7"/>
        <v>174894.36507199999</v>
      </c>
      <c r="K102" s="24">
        <f t="shared" si="6"/>
        <v>-42549.814928000007</v>
      </c>
      <c r="L102" s="23" t="s">
        <v>268</v>
      </c>
      <c r="M102" s="49"/>
    </row>
    <row r="103" spans="1:17" ht="36" x14ac:dyDescent="0.25">
      <c r="A103" s="22">
        <v>90</v>
      </c>
      <c r="B103" s="22" t="s">
        <v>275</v>
      </c>
      <c r="C103" s="23" t="s">
        <v>276</v>
      </c>
      <c r="D103" s="22" t="s">
        <v>4</v>
      </c>
      <c r="E103" s="24">
        <v>100.8</v>
      </c>
      <c r="F103" s="24">
        <v>1240</v>
      </c>
      <c r="G103" s="33">
        <v>124992</v>
      </c>
      <c r="H103" s="24">
        <v>100.8</v>
      </c>
      <c r="I103" s="24">
        <v>1489.0398</v>
      </c>
      <c r="J103" s="21">
        <f t="shared" si="7"/>
        <v>150095.21184</v>
      </c>
      <c r="K103" s="24">
        <f t="shared" si="6"/>
        <v>25103.211840000004</v>
      </c>
      <c r="L103" s="23" t="s">
        <v>268</v>
      </c>
      <c r="M103" s="49"/>
    </row>
    <row r="104" spans="1:17" ht="48" x14ac:dyDescent="0.25">
      <c r="A104" s="22">
        <v>91</v>
      </c>
      <c r="B104" s="22" t="s">
        <v>277</v>
      </c>
      <c r="C104" s="23" t="s">
        <v>278</v>
      </c>
      <c r="D104" s="22" t="s">
        <v>3</v>
      </c>
      <c r="E104" s="24">
        <v>77</v>
      </c>
      <c r="F104" s="24">
        <v>3513.52</v>
      </c>
      <c r="G104" s="33">
        <v>270541.03999999998</v>
      </c>
      <c r="H104" s="24">
        <v>77</v>
      </c>
      <c r="I104" s="24">
        <v>4839.0119999999997</v>
      </c>
      <c r="J104" s="21">
        <f t="shared" si="7"/>
        <v>372603.924</v>
      </c>
      <c r="K104" s="24">
        <f t="shared" si="6"/>
        <v>102062.88400000002</v>
      </c>
      <c r="L104" s="23" t="s">
        <v>279</v>
      </c>
      <c r="M104" s="49"/>
    </row>
    <row r="105" spans="1:17" ht="24" x14ac:dyDescent="0.25">
      <c r="A105" s="19">
        <v>92</v>
      </c>
      <c r="B105" s="19" t="s">
        <v>280</v>
      </c>
      <c r="C105" s="20" t="s">
        <v>281</v>
      </c>
      <c r="D105" s="19" t="s">
        <v>8</v>
      </c>
      <c r="E105" s="21">
        <v>28.8</v>
      </c>
      <c r="F105" s="21">
        <v>583.02</v>
      </c>
      <c r="G105" s="34">
        <v>16790.98</v>
      </c>
      <c r="H105" s="21">
        <v>28.8</v>
      </c>
      <c r="I105" s="21">
        <v>583.02</v>
      </c>
      <c r="J105" s="21">
        <f t="shared" si="7"/>
        <v>16790.975999999999</v>
      </c>
      <c r="K105" s="21">
        <f t="shared" si="6"/>
        <v>-4.0000000008149073E-3</v>
      </c>
      <c r="L105" s="20"/>
      <c r="M105" s="49"/>
    </row>
    <row r="106" spans="1:17" ht="24" x14ac:dyDescent="0.25">
      <c r="A106" s="19">
        <v>93</v>
      </c>
      <c r="B106" s="19" t="s">
        <v>282</v>
      </c>
      <c r="C106" s="20" t="s">
        <v>283</v>
      </c>
      <c r="D106" s="19" t="s">
        <v>2</v>
      </c>
      <c r="E106" s="21">
        <v>12</v>
      </c>
      <c r="F106" s="21">
        <v>1800.57</v>
      </c>
      <c r="G106" s="34">
        <v>21606.84</v>
      </c>
      <c r="H106" s="21">
        <v>12</v>
      </c>
      <c r="I106" s="21">
        <v>1800.5700000000002</v>
      </c>
      <c r="J106" s="21">
        <f t="shared" si="7"/>
        <v>21606.840000000004</v>
      </c>
      <c r="K106" s="21">
        <f t="shared" si="6"/>
        <v>0</v>
      </c>
      <c r="L106" s="20"/>
      <c r="M106" s="49"/>
    </row>
    <row r="107" spans="1:17" x14ac:dyDescent="0.25">
      <c r="A107" s="18" t="s">
        <v>19</v>
      </c>
      <c r="B107" s="18"/>
      <c r="C107" s="18"/>
      <c r="D107" s="18"/>
      <c r="E107" s="18"/>
      <c r="F107" s="18"/>
      <c r="G107" s="48">
        <f>SUM(G108:G115)</f>
        <v>2049569.7399999998</v>
      </c>
      <c r="H107" s="18"/>
      <c r="I107" s="18"/>
      <c r="J107" s="48">
        <f>SUM(J108:J115)</f>
        <v>2400730.3326599998</v>
      </c>
      <c r="K107" s="18"/>
      <c r="L107" s="18"/>
      <c r="M107" s="49"/>
    </row>
    <row r="108" spans="1:17" ht="36" x14ac:dyDescent="0.25">
      <c r="A108" s="22">
        <v>94</v>
      </c>
      <c r="B108" s="22" t="s">
        <v>284</v>
      </c>
      <c r="C108" s="23" t="s">
        <v>285</v>
      </c>
      <c r="D108" s="22" t="s">
        <v>236</v>
      </c>
      <c r="E108" s="24">
        <v>6</v>
      </c>
      <c r="F108" s="24">
        <v>14818.46</v>
      </c>
      <c r="G108" s="24">
        <v>88910.76</v>
      </c>
      <c r="H108" s="24">
        <v>6</v>
      </c>
      <c r="I108" s="24">
        <v>20000</v>
      </c>
      <c r="J108" s="24">
        <v>120000</v>
      </c>
      <c r="K108" s="24">
        <f t="shared" ref="K108:K115" si="8">J108-G108</f>
        <v>31089.240000000005</v>
      </c>
      <c r="L108" s="23" t="s">
        <v>286</v>
      </c>
      <c r="M108" s="49">
        <v>2334267.7539999997</v>
      </c>
    </row>
    <row r="109" spans="1:17" ht="24" x14ac:dyDescent="0.25">
      <c r="A109" s="22">
        <v>95</v>
      </c>
      <c r="B109" s="22" t="s">
        <v>287</v>
      </c>
      <c r="C109" s="23" t="s">
        <v>288</v>
      </c>
      <c r="D109" s="22" t="s">
        <v>236</v>
      </c>
      <c r="E109" s="24">
        <v>12</v>
      </c>
      <c r="F109" s="24">
        <v>14228.46</v>
      </c>
      <c r="G109" s="24">
        <v>170741.52</v>
      </c>
      <c r="H109" s="24">
        <v>12</v>
      </c>
      <c r="I109" s="24">
        <v>14500.0052</v>
      </c>
      <c r="J109" s="24">
        <v>174000.0624</v>
      </c>
      <c r="K109" s="24">
        <f t="shared" si="8"/>
        <v>3258.5424000000057</v>
      </c>
      <c r="L109" s="23" t="s">
        <v>289</v>
      </c>
      <c r="M109" s="49"/>
    </row>
    <row r="110" spans="1:17" ht="24" x14ac:dyDescent="0.25">
      <c r="A110" s="22">
        <v>96</v>
      </c>
      <c r="B110" s="22" t="s">
        <v>290</v>
      </c>
      <c r="C110" s="23" t="s">
        <v>291</v>
      </c>
      <c r="D110" s="22" t="s">
        <v>236</v>
      </c>
      <c r="E110" s="24">
        <v>12</v>
      </c>
      <c r="F110" s="24">
        <v>14228.46</v>
      </c>
      <c r="G110" s="24">
        <v>170741.52</v>
      </c>
      <c r="H110" s="24">
        <v>12</v>
      </c>
      <c r="I110" s="24">
        <v>14500.0052</v>
      </c>
      <c r="J110" s="24">
        <v>174000.0624</v>
      </c>
      <c r="K110" s="24">
        <f t="shared" si="8"/>
        <v>3258.5424000000057</v>
      </c>
      <c r="L110" s="23" t="s">
        <v>289</v>
      </c>
      <c r="M110" s="49"/>
    </row>
    <row r="111" spans="1:17" ht="24" x14ac:dyDescent="0.25">
      <c r="A111" s="22">
        <v>97</v>
      </c>
      <c r="B111" s="22" t="s">
        <v>292</v>
      </c>
      <c r="C111" s="23" t="s">
        <v>293</v>
      </c>
      <c r="D111" s="22" t="s">
        <v>236</v>
      </c>
      <c r="E111" s="24">
        <v>2</v>
      </c>
      <c r="F111" s="24">
        <v>14818.46</v>
      </c>
      <c r="G111" s="24">
        <v>29636.92</v>
      </c>
      <c r="H111" s="24">
        <v>2</v>
      </c>
      <c r="I111" s="24">
        <v>15499.9962</v>
      </c>
      <c r="J111" s="24">
        <v>30999.992399999999</v>
      </c>
      <c r="K111" s="24">
        <f t="shared" si="8"/>
        <v>1363.0724000000009</v>
      </c>
      <c r="L111" s="23" t="s">
        <v>289</v>
      </c>
      <c r="M111" s="49"/>
    </row>
    <row r="112" spans="1:17" ht="36" x14ac:dyDescent="0.25">
      <c r="A112" s="22">
        <v>98</v>
      </c>
      <c r="B112" s="22" t="s">
        <v>294</v>
      </c>
      <c r="C112" s="23" t="s">
        <v>295</v>
      </c>
      <c r="D112" s="22" t="s">
        <v>236</v>
      </c>
      <c r="E112" s="24">
        <v>6</v>
      </c>
      <c r="F112" s="24">
        <v>43223.85</v>
      </c>
      <c r="G112" s="24">
        <v>259343.1</v>
      </c>
      <c r="H112" s="24">
        <v>6</v>
      </c>
      <c r="I112" s="24">
        <v>46745.537750000003</v>
      </c>
      <c r="J112" s="24">
        <v>280473.22649999999</v>
      </c>
      <c r="K112" s="24">
        <f t="shared" si="8"/>
        <v>21130.126499999984</v>
      </c>
      <c r="L112" s="23" t="s">
        <v>296</v>
      </c>
      <c r="M112" s="49"/>
    </row>
    <row r="113" spans="1:13" ht="36" x14ac:dyDescent="0.25">
      <c r="A113" s="22">
        <v>99</v>
      </c>
      <c r="B113" s="22" t="s">
        <v>297</v>
      </c>
      <c r="C113" s="23" t="s">
        <v>298</v>
      </c>
      <c r="D113" s="22" t="s">
        <v>236</v>
      </c>
      <c r="E113" s="24">
        <v>6</v>
      </c>
      <c r="F113" s="24">
        <v>54433.85</v>
      </c>
      <c r="G113" s="24">
        <v>326603.09999999998</v>
      </c>
      <c r="H113" s="24">
        <v>6</v>
      </c>
      <c r="I113" s="24">
        <v>71061.09</v>
      </c>
      <c r="J113" s="24">
        <v>426366.54</v>
      </c>
      <c r="K113" s="24">
        <f t="shared" si="8"/>
        <v>99763.44</v>
      </c>
      <c r="L113" s="23" t="s">
        <v>296</v>
      </c>
      <c r="M113" s="49"/>
    </row>
    <row r="114" spans="1:13" ht="24" x14ac:dyDescent="0.25">
      <c r="A114" s="22">
        <v>100</v>
      </c>
      <c r="B114" s="22" t="s">
        <v>299</v>
      </c>
      <c r="C114" s="23" t="s">
        <v>5</v>
      </c>
      <c r="D114" s="22" t="s">
        <v>2</v>
      </c>
      <c r="E114" s="24">
        <v>6</v>
      </c>
      <c r="F114" s="24">
        <v>120006.47</v>
      </c>
      <c r="G114" s="24">
        <v>720038.82</v>
      </c>
      <c r="H114" s="24">
        <v>6</v>
      </c>
      <c r="I114" s="24">
        <v>154066.97039999999</v>
      </c>
      <c r="J114" s="24">
        <v>924401.82239999995</v>
      </c>
      <c r="K114" s="24">
        <f t="shared" si="8"/>
        <v>204363.0024</v>
      </c>
      <c r="L114" s="23" t="s">
        <v>300</v>
      </c>
      <c r="M114" s="49"/>
    </row>
    <row r="115" spans="1:13" ht="24" x14ac:dyDescent="0.25">
      <c r="A115" s="22">
        <v>101</v>
      </c>
      <c r="B115" s="22" t="s">
        <v>301</v>
      </c>
      <c r="C115" s="23" t="s">
        <v>6</v>
      </c>
      <c r="D115" s="22" t="s">
        <v>2</v>
      </c>
      <c r="E115" s="24">
        <v>6</v>
      </c>
      <c r="F115" s="24">
        <v>47259</v>
      </c>
      <c r="G115" s="24">
        <v>283554</v>
      </c>
      <c r="H115" s="24">
        <v>6</v>
      </c>
      <c r="I115" s="24">
        <v>45081.437760000001</v>
      </c>
      <c r="J115" s="24">
        <v>270488.62656</v>
      </c>
      <c r="K115" s="24">
        <f t="shared" si="8"/>
        <v>-13065.373439999996</v>
      </c>
      <c r="L115" s="23" t="s">
        <v>302</v>
      </c>
      <c r="M115" s="49"/>
    </row>
    <row r="116" spans="1:13" x14ac:dyDescent="0.25">
      <c r="A116" s="18" t="s">
        <v>39</v>
      </c>
      <c r="B116" s="18"/>
      <c r="C116" s="18"/>
      <c r="D116" s="18"/>
      <c r="E116" s="18"/>
      <c r="F116" s="18"/>
      <c r="G116" s="48">
        <f>SUM(G117:G127)</f>
        <v>1016412.5</v>
      </c>
      <c r="H116" s="18"/>
      <c r="I116" s="18"/>
      <c r="J116" s="48">
        <f>SUM(J117:J127)</f>
        <v>907917.79999999993</v>
      </c>
      <c r="K116" s="18"/>
      <c r="L116" s="18"/>
      <c r="M116" s="49"/>
    </row>
    <row r="117" spans="1:13" ht="36" x14ac:dyDescent="0.25">
      <c r="A117" s="22">
        <v>102</v>
      </c>
      <c r="B117" s="22" t="s">
        <v>303</v>
      </c>
      <c r="C117" s="23" t="s">
        <v>304</v>
      </c>
      <c r="D117" s="22" t="s">
        <v>236</v>
      </c>
      <c r="E117" s="24">
        <v>2</v>
      </c>
      <c r="F117" s="24">
        <v>18145.29</v>
      </c>
      <c r="G117" s="24">
        <v>36290.58</v>
      </c>
      <c r="H117" s="24">
        <v>2</v>
      </c>
      <c r="I117" s="24">
        <v>20502.719775429599</v>
      </c>
      <c r="J117" s="24">
        <v>41005.440000000002</v>
      </c>
      <c r="K117" s="24">
        <f t="shared" ref="K117:K127" si="9">J117-G117</f>
        <v>4714.8600000000006</v>
      </c>
      <c r="L117" s="23" t="s">
        <v>305</v>
      </c>
      <c r="M117" s="49"/>
    </row>
    <row r="118" spans="1:13" ht="36" x14ac:dyDescent="0.25">
      <c r="A118" s="22">
        <v>103</v>
      </c>
      <c r="B118" s="22" t="s">
        <v>306</v>
      </c>
      <c r="C118" s="23" t="s">
        <v>307</v>
      </c>
      <c r="D118" s="22" t="s">
        <v>236</v>
      </c>
      <c r="E118" s="24">
        <v>2</v>
      </c>
      <c r="F118" s="24">
        <v>48069.61</v>
      </c>
      <c r="G118" s="24">
        <v>96139.22</v>
      </c>
      <c r="H118" s="24">
        <v>2</v>
      </c>
      <c r="I118" s="24">
        <v>30699.562872505601</v>
      </c>
      <c r="J118" s="24">
        <v>61399.13</v>
      </c>
      <c r="K118" s="24">
        <f t="shared" si="9"/>
        <v>-34740.090000000004</v>
      </c>
      <c r="L118" s="23" t="s">
        <v>308</v>
      </c>
      <c r="M118" s="49"/>
    </row>
    <row r="119" spans="1:13" ht="60" x14ac:dyDescent="0.25">
      <c r="A119" s="22">
        <v>104</v>
      </c>
      <c r="B119" s="22" t="s">
        <v>309</v>
      </c>
      <c r="C119" s="23" t="s">
        <v>310</v>
      </c>
      <c r="D119" s="22" t="s">
        <v>236</v>
      </c>
      <c r="E119" s="24">
        <v>4</v>
      </c>
      <c r="F119" s="24">
        <v>48069.61</v>
      </c>
      <c r="G119" s="24">
        <v>192278.44</v>
      </c>
      <c r="H119" s="24">
        <v>4</v>
      </c>
      <c r="I119" s="24">
        <v>30699.562872505601</v>
      </c>
      <c r="J119" s="24">
        <v>122798.25</v>
      </c>
      <c r="K119" s="24">
        <f t="shared" si="9"/>
        <v>-69480.19</v>
      </c>
      <c r="L119" s="23" t="s">
        <v>308</v>
      </c>
      <c r="M119" s="49"/>
    </row>
    <row r="120" spans="1:13" ht="48" x14ac:dyDescent="0.25">
      <c r="A120" s="22">
        <v>105</v>
      </c>
      <c r="B120" s="22" t="s">
        <v>311</v>
      </c>
      <c r="C120" s="23" t="s">
        <v>312</v>
      </c>
      <c r="D120" s="22" t="s">
        <v>236</v>
      </c>
      <c r="E120" s="24">
        <v>6</v>
      </c>
      <c r="F120" s="24">
        <v>14121.01</v>
      </c>
      <c r="G120" s="24">
        <v>84726.06</v>
      </c>
      <c r="H120" s="24">
        <v>6</v>
      </c>
      <c r="I120" s="24">
        <v>9436.82396224484</v>
      </c>
      <c r="J120" s="24">
        <v>56620.94</v>
      </c>
      <c r="K120" s="24">
        <f t="shared" si="9"/>
        <v>-28105.119999999995</v>
      </c>
      <c r="L120" s="23" t="s">
        <v>308</v>
      </c>
      <c r="M120" s="49"/>
    </row>
    <row r="121" spans="1:13" ht="36" x14ac:dyDescent="0.25">
      <c r="A121" s="22">
        <v>106</v>
      </c>
      <c r="B121" s="22" t="s">
        <v>313</v>
      </c>
      <c r="C121" s="23" t="s">
        <v>314</v>
      </c>
      <c r="D121" s="22" t="s">
        <v>236</v>
      </c>
      <c r="E121" s="24">
        <v>2</v>
      </c>
      <c r="F121" s="24">
        <v>34924.410000000003</v>
      </c>
      <c r="G121" s="24">
        <v>69848.820000000007</v>
      </c>
      <c r="H121" s="24">
        <v>2</v>
      </c>
      <c r="I121" s="24">
        <v>21297.877747508799</v>
      </c>
      <c r="J121" s="24">
        <v>42595.76</v>
      </c>
      <c r="K121" s="24">
        <f t="shared" si="9"/>
        <v>-27253.060000000005</v>
      </c>
      <c r="L121" s="23" t="s">
        <v>308</v>
      </c>
      <c r="M121" s="49"/>
    </row>
    <row r="122" spans="1:13" ht="36" x14ac:dyDescent="0.25">
      <c r="A122" s="22">
        <v>107</v>
      </c>
      <c r="B122" s="22" t="s">
        <v>315</v>
      </c>
      <c r="C122" s="23" t="s">
        <v>316</v>
      </c>
      <c r="D122" s="22" t="s">
        <v>236</v>
      </c>
      <c r="E122" s="24">
        <v>4</v>
      </c>
      <c r="F122" s="24">
        <v>23537.41</v>
      </c>
      <c r="G122" s="24">
        <v>94149.64</v>
      </c>
      <c r="H122" s="24">
        <v>4</v>
      </c>
      <c r="I122" s="24">
        <v>18448.1932598032</v>
      </c>
      <c r="J122" s="24">
        <v>73792.77</v>
      </c>
      <c r="K122" s="24">
        <f t="shared" si="9"/>
        <v>-20356.869999999995</v>
      </c>
      <c r="L122" s="23" t="s">
        <v>308</v>
      </c>
      <c r="M122" s="49"/>
    </row>
    <row r="123" spans="1:13" ht="36" x14ac:dyDescent="0.25">
      <c r="A123" s="22">
        <v>108</v>
      </c>
      <c r="B123" s="22" t="s">
        <v>317</v>
      </c>
      <c r="C123" s="23" t="s">
        <v>318</v>
      </c>
      <c r="D123" s="22" t="s">
        <v>236</v>
      </c>
      <c r="E123" s="24">
        <v>6</v>
      </c>
      <c r="F123" s="24">
        <v>7695.91</v>
      </c>
      <c r="G123" s="24">
        <v>46175.46</v>
      </c>
      <c r="H123" s="24">
        <v>6</v>
      </c>
      <c r="I123" s="24">
        <v>8178.0869977064303</v>
      </c>
      <c r="J123" s="24">
        <v>49068.52</v>
      </c>
      <c r="K123" s="24">
        <f t="shared" si="9"/>
        <v>2893.0599999999977</v>
      </c>
      <c r="L123" s="23" t="s">
        <v>305</v>
      </c>
      <c r="M123" s="49"/>
    </row>
    <row r="124" spans="1:13" ht="48" x14ac:dyDescent="0.25">
      <c r="A124" s="22">
        <v>109</v>
      </c>
      <c r="B124" s="22" t="s">
        <v>319</v>
      </c>
      <c r="C124" s="23" t="s">
        <v>320</v>
      </c>
      <c r="D124" s="22" t="s">
        <v>236</v>
      </c>
      <c r="E124" s="24">
        <v>6</v>
      </c>
      <c r="F124" s="24">
        <v>14121.01</v>
      </c>
      <c r="G124" s="24">
        <v>84726.06</v>
      </c>
      <c r="H124" s="24">
        <v>6</v>
      </c>
      <c r="I124" s="24">
        <v>15752.6140502448</v>
      </c>
      <c r="J124" s="24">
        <v>94515.68</v>
      </c>
      <c r="K124" s="24">
        <f t="shared" si="9"/>
        <v>9789.6199999999953</v>
      </c>
      <c r="L124" s="23" t="s">
        <v>321</v>
      </c>
      <c r="M124" s="49">
        <v>2400730.3326599998</v>
      </c>
    </row>
    <row r="125" spans="1:13" ht="36" x14ac:dyDescent="0.25">
      <c r="A125" s="22">
        <v>110</v>
      </c>
      <c r="B125" s="22" t="s">
        <v>322</v>
      </c>
      <c r="C125" s="23" t="s">
        <v>323</v>
      </c>
      <c r="D125" s="22" t="s">
        <v>236</v>
      </c>
      <c r="E125" s="24">
        <v>12</v>
      </c>
      <c r="F125" s="24">
        <v>17436.810000000001</v>
      </c>
      <c r="G125" s="24">
        <v>209241.72</v>
      </c>
      <c r="H125" s="24">
        <v>12</v>
      </c>
      <c r="I125" s="24">
        <v>17272.824724426398</v>
      </c>
      <c r="J125" s="24">
        <v>207273.9</v>
      </c>
      <c r="K125" s="24">
        <f t="shared" si="9"/>
        <v>-1967.820000000007</v>
      </c>
      <c r="L125" s="23" t="s">
        <v>324</v>
      </c>
      <c r="M125" s="49">
        <v>499000.11719999998</v>
      </c>
    </row>
    <row r="126" spans="1:13" ht="36" x14ac:dyDescent="0.25">
      <c r="A126" s="22">
        <v>111</v>
      </c>
      <c r="B126" s="22" t="s">
        <v>325</v>
      </c>
      <c r="C126" s="23" t="s">
        <v>326</v>
      </c>
      <c r="D126" s="22" t="s">
        <v>236</v>
      </c>
      <c r="E126" s="24">
        <v>4</v>
      </c>
      <c r="F126" s="24">
        <v>14121.01</v>
      </c>
      <c r="G126" s="24">
        <v>56484.04</v>
      </c>
      <c r="H126" s="24">
        <v>4</v>
      </c>
      <c r="I126" s="24">
        <v>24086.299071360801</v>
      </c>
      <c r="J126" s="24">
        <v>96345.2</v>
      </c>
      <c r="K126" s="24">
        <f t="shared" si="9"/>
        <v>39861.159999999996</v>
      </c>
      <c r="L126" s="23" t="s">
        <v>327</v>
      </c>
      <c r="M126" s="49"/>
    </row>
    <row r="127" spans="1:13" ht="36" x14ac:dyDescent="0.25">
      <c r="A127" s="22">
        <v>112</v>
      </c>
      <c r="B127" s="22" t="s">
        <v>328</v>
      </c>
      <c r="C127" s="23" t="s">
        <v>329</v>
      </c>
      <c r="D127" s="22" t="s">
        <v>236</v>
      </c>
      <c r="E127" s="24">
        <v>6</v>
      </c>
      <c r="F127" s="24">
        <v>7725.41</v>
      </c>
      <c r="G127" s="24">
        <v>46352.46</v>
      </c>
      <c r="H127" s="24">
        <v>6</v>
      </c>
      <c r="I127" s="24">
        <v>10417.034583902399</v>
      </c>
      <c r="J127" s="24">
        <v>62502.21</v>
      </c>
      <c r="K127" s="24">
        <f t="shared" si="9"/>
        <v>16149.75</v>
      </c>
      <c r="L127" s="23" t="s">
        <v>327</v>
      </c>
      <c r="M127" s="49"/>
    </row>
    <row r="128" spans="1:13" x14ac:dyDescent="0.25">
      <c r="A128" s="18" t="s">
        <v>34</v>
      </c>
      <c r="B128" s="18"/>
      <c r="C128" s="18"/>
      <c r="D128" s="18"/>
      <c r="E128" s="18"/>
      <c r="F128" s="18"/>
      <c r="G128" s="48">
        <f>SUM(G129:G145)</f>
        <v>1741020.8999999997</v>
      </c>
      <c r="H128" s="18"/>
      <c r="I128" s="18"/>
      <c r="J128" s="48">
        <f>SUM(J129:J145)</f>
        <v>1741020.8999999997</v>
      </c>
      <c r="K128" s="18"/>
      <c r="L128" s="18"/>
      <c r="M128" s="49"/>
    </row>
    <row r="129" spans="1:13" ht="24" x14ac:dyDescent="0.25">
      <c r="A129" s="19">
        <v>113</v>
      </c>
      <c r="B129" s="19" t="s">
        <v>330</v>
      </c>
      <c r="C129" s="20" t="s">
        <v>331</v>
      </c>
      <c r="D129" s="19" t="s">
        <v>8</v>
      </c>
      <c r="E129" s="21">
        <v>865.31</v>
      </c>
      <c r="F129" s="21">
        <v>296.99</v>
      </c>
      <c r="G129" s="21">
        <v>256988.42</v>
      </c>
      <c r="H129" s="21">
        <v>865.31</v>
      </c>
      <c r="I129" s="21">
        <v>296.99</v>
      </c>
      <c r="J129" s="21">
        <v>256988.42</v>
      </c>
      <c r="K129" s="21">
        <f t="shared" ref="K129:K145" si="10">J129-G129</f>
        <v>0</v>
      </c>
      <c r="L129" s="20"/>
      <c r="M129" s="49">
        <v>706839.76649999991</v>
      </c>
    </row>
    <row r="130" spans="1:13" ht="24" x14ac:dyDescent="0.25">
      <c r="A130" s="19">
        <v>114</v>
      </c>
      <c r="B130" s="19" t="s">
        <v>332</v>
      </c>
      <c r="C130" s="20" t="s">
        <v>333</v>
      </c>
      <c r="D130" s="19" t="s">
        <v>8</v>
      </c>
      <c r="E130" s="21">
        <v>513.78</v>
      </c>
      <c r="F130" s="21">
        <v>290</v>
      </c>
      <c r="G130" s="21">
        <v>148996.20000000001</v>
      </c>
      <c r="H130" s="21">
        <v>513.78</v>
      </c>
      <c r="I130" s="21">
        <v>290</v>
      </c>
      <c r="J130" s="21">
        <v>148996.20000000001</v>
      </c>
      <c r="K130" s="21">
        <f t="shared" si="10"/>
        <v>0</v>
      </c>
      <c r="L130" s="20"/>
      <c r="M130" s="49"/>
    </row>
    <row r="131" spans="1:13" ht="36" x14ac:dyDescent="0.25">
      <c r="A131" s="19">
        <v>115</v>
      </c>
      <c r="B131" s="19" t="s">
        <v>334</v>
      </c>
      <c r="C131" s="20" t="s">
        <v>335</v>
      </c>
      <c r="D131" s="19" t="s">
        <v>8</v>
      </c>
      <c r="E131" s="21">
        <v>1379.09</v>
      </c>
      <c r="F131" s="21">
        <v>73.09</v>
      </c>
      <c r="G131" s="21">
        <v>100797.69</v>
      </c>
      <c r="H131" s="21">
        <v>1379.09</v>
      </c>
      <c r="I131" s="21">
        <v>73.09</v>
      </c>
      <c r="J131" s="21">
        <v>100797.69</v>
      </c>
      <c r="K131" s="21">
        <f t="shared" si="10"/>
        <v>0</v>
      </c>
      <c r="L131" s="20"/>
      <c r="M131" s="49">
        <v>1194890.44896</v>
      </c>
    </row>
    <row r="132" spans="1:13" ht="36" x14ac:dyDescent="0.25">
      <c r="A132" s="22">
        <v>116</v>
      </c>
      <c r="B132" s="22" t="s">
        <v>336</v>
      </c>
      <c r="C132" s="23" t="s">
        <v>337</v>
      </c>
      <c r="D132" s="22" t="s">
        <v>8</v>
      </c>
      <c r="E132" s="24">
        <v>1379.09</v>
      </c>
      <c r="F132" s="24">
        <v>121.86</v>
      </c>
      <c r="G132" s="24">
        <v>168055.91</v>
      </c>
      <c r="H132" s="24">
        <v>1379.09</v>
      </c>
      <c r="I132" s="24">
        <v>121.86</v>
      </c>
      <c r="J132" s="24">
        <v>168055.91</v>
      </c>
      <c r="K132" s="24">
        <f t="shared" si="10"/>
        <v>0</v>
      </c>
      <c r="L132" s="23" t="s">
        <v>338</v>
      </c>
      <c r="M132" s="49"/>
    </row>
    <row r="133" spans="1:13" ht="36" x14ac:dyDescent="0.25">
      <c r="A133" s="19">
        <v>117</v>
      </c>
      <c r="B133" s="19" t="s">
        <v>339</v>
      </c>
      <c r="C133" s="20" t="s">
        <v>340</v>
      </c>
      <c r="D133" s="19" t="s">
        <v>8</v>
      </c>
      <c r="E133" s="21">
        <v>1379.09</v>
      </c>
      <c r="F133" s="21">
        <v>154.5</v>
      </c>
      <c r="G133" s="21">
        <v>213069.41</v>
      </c>
      <c r="H133" s="21">
        <v>1379.09</v>
      </c>
      <c r="I133" s="21">
        <v>154.5</v>
      </c>
      <c r="J133" s="21">
        <v>213069.41</v>
      </c>
      <c r="K133" s="21">
        <f t="shared" si="10"/>
        <v>0</v>
      </c>
      <c r="L133" s="20"/>
      <c r="M133" s="49">
        <v>907917.79999999993</v>
      </c>
    </row>
    <row r="134" spans="1:13" ht="36" x14ac:dyDescent="0.25">
      <c r="A134" s="19">
        <v>118</v>
      </c>
      <c r="B134" s="19" t="s">
        <v>341</v>
      </c>
      <c r="C134" s="20" t="s">
        <v>342</v>
      </c>
      <c r="D134" s="19" t="s">
        <v>8</v>
      </c>
      <c r="E134" s="21">
        <v>178.29</v>
      </c>
      <c r="F134" s="21">
        <v>268.77999999999997</v>
      </c>
      <c r="G134" s="21">
        <v>47920.79</v>
      </c>
      <c r="H134" s="21">
        <v>178.29</v>
      </c>
      <c r="I134" s="21">
        <v>268.77999999999997</v>
      </c>
      <c r="J134" s="21">
        <v>47920.79</v>
      </c>
      <c r="K134" s="21">
        <f t="shared" si="10"/>
        <v>0</v>
      </c>
      <c r="L134" s="20"/>
      <c r="M134" s="49"/>
    </row>
    <row r="135" spans="1:13" ht="36" x14ac:dyDescent="0.25">
      <c r="A135" s="19">
        <v>119</v>
      </c>
      <c r="B135" s="19" t="s">
        <v>343</v>
      </c>
      <c r="C135" s="20" t="s">
        <v>344</v>
      </c>
      <c r="D135" s="19" t="s">
        <v>8</v>
      </c>
      <c r="E135" s="21">
        <v>178.29</v>
      </c>
      <c r="F135" s="21">
        <v>73.09</v>
      </c>
      <c r="G135" s="21">
        <v>13031.22</v>
      </c>
      <c r="H135" s="21">
        <v>178.29</v>
      </c>
      <c r="I135" s="21">
        <v>73.09</v>
      </c>
      <c r="J135" s="21">
        <v>13031.22</v>
      </c>
      <c r="K135" s="21">
        <f t="shared" si="10"/>
        <v>0</v>
      </c>
      <c r="L135" s="20"/>
      <c r="M135" s="49"/>
    </row>
    <row r="136" spans="1:13" ht="36" x14ac:dyDescent="0.25">
      <c r="A136" s="19">
        <v>120</v>
      </c>
      <c r="B136" s="19" t="s">
        <v>345</v>
      </c>
      <c r="C136" s="20" t="s">
        <v>346</v>
      </c>
      <c r="D136" s="19" t="s">
        <v>8</v>
      </c>
      <c r="E136" s="21">
        <v>178.29</v>
      </c>
      <c r="F136" s="21">
        <v>128.94999999999999</v>
      </c>
      <c r="G136" s="21">
        <v>22990.5</v>
      </c>
      <c r="H136" s="21">
        <v>178.29</v>
      </c>
      <c r="I136" s="21">
        <v>128.94999999999999</v>
      </c>
      <c r="J136" s="21">
        <v>22990.5</v>
      </c>
      <c r="K136" s="21">
        <f t="shared" si="10"/>
        <v>0</v>
      </c>
      <c r="L136" s="20"/>
      <c r="M136" s="49"/>
    </row>
    <row r="137" spans="1:13" ht="36" x14ac:dyDescent="0.25">
      <c r="A137" s="19">
        <v>121</v>
      </c>
      <c r="B137" s="19" t="s">
        <v>347</v>
      </c>
      <c r="C137" s="20" t="s">
        <v>348</v>
      </c>
      <c r="D137" s="19" t="s">
        <v>8</v>
      </c>
      <c r="E137" s="21">
        <v>178.29</v>
      </c>
      <c r="F137" s="21">
        <v>167.63</v>
      </c>
      <c r="G137" s="21">
        <v>29886.75</v>
      </c>
      <c r="H137" s="21">
        <v>178.29</v>
      </c>
      <c r="I137" s="21">
        <v>167.63</v>
      </c>
      <c r="J137" s="21">
        <v>29886.75</v>
      </c>
      <c r="K137" s="21">
        <f t="shared" si="10"/>
        <v>0</v>
      </c>
      <c r="L137" s="20"/>
      <c r="M137" s="49"/>
    </row>
    <row r="138" spans="1:13" ht="36" x14ac:dyDescent="0.25">
      <c r="A138" s="19">
        <v>122</v>
      </c>
      <c r="B138" s="19" t="s">
        <v>349</v>
      </c>
      <c r="C138" s="20" t="s">
        <v>350</v>
      </c>
      <c r="D138" s="19" t="s">
        <v>8</v>
      </c>
      <c r="E138" s="21">
        <v>417.91</v>
      </c>
      <c r="F138" s="21">
        <v>491.21</v>
      </c>
      <c r="G138" s="21">
        <v>205281.57</v>
      </c>
      <c r="H138" s="21">
        <v>417.91</v>
      </c>
      <c r="I138" s="21">
        <v>491.21</v>
      </c>
      <c r="J138" s="21">
        <v>205281.57</v>
      </c>
      <c r="K138" s="21">
        <f t="shared" si="10"/>
        <v>0</v>
      </c>
      <c r="L138" s="20"/>
      <c r="M138" s="49"/>
    </row>
    <row r="139" spans="1:13" ht="24" x14ac:dyDescent="0.25">
      <c r="A139" s="19">
        <v>123</v>
      </c>
      <c r="B139" s="19" t="s">
        <v>351</v>
      </c>
      <c r="C139" s="20" t="s">
        <v>352</v>
      </c>
      <c r="D139" s="19" t="s">
        <v>8</v>
      </c>
      <c r="E139" s="21">
        <v>417.91</v>
      </c>
      <c r="F139" s="21">
        <v>130.34</v>
      </c>
      <c r="G139" s="21">
        <v>54470.39</v>
      </c>
      <c r="H139" s="21">
        <v>417.91</v>
      </c>
      <c r="I139" s="21">
        <v>130.34</v>
      </c>
      <c r="J139" s="21">
        <v>54470.39</v>
      </c>
      <c r="K139" s="21">
        <f t="shared" si="10"/>
        <v>0</v>
      </c>
      <c r="L139" s="20"/>
      <c r="M139" s="49"/>
    </row>
    <row r="140" spans="1:13" ht="24" x14ac:dyDescent="0.25">
      <c r="A140" s="19">
        <v>124</v>
      </c>
      <c r="B140" s="19" t="s">
        <v>353</v>
      </c>
      <c r="C140" s="20" t="s">
        <v>354</v>
      </c>
      <c r="D140" s="19" t="s">
        <v>8</v>
      </c>
      <c r="E140" s="21">
        <v>417.91</v>
      </c>
      <c r="F140" s="21">
        <v>413.58</v>
      </c>
      <c r="G140" s="21">
        <v>172839.22</v>
      </c>
      <c r="H140" s="21">
        <v>417.91</v>
      </c>
      <c r="I140" s="21">
        <v>413.58</v>
      </c>
      <c r="J140" s="21">
        <v>172839.22</v>
      </c>
      <c r="K140" s="21">
        <f t="shared" si="10"/>
        <v>0</v>
      </c>
      <c r="L140" s="20"/>
      <c r="M140" s="49"/>
    </row>
    <row r="141" spans="1:13" ht="36" x14ac:dyDescent="0.25">
      <c r="A141" s="19">
        <v>125</v>
      </c>
      <c r="B141" s="19" t="s">
        <v>355</v>
      </c>
      <c r="C141" s="20" t="s">
        <v>356</v>
      </c>
      <c r="D141" s="19" t="s">
        <v>4</v>
      </c>
      <c r="E141" s="21">
        <v>70.099999999999994</v>
      </c>
      <c r="F141" s="21">
        <v>123.67</v>
      </c>
      <c r="G141" s="21">
        <v>8669.27</v>
      </c>
      <c r="H141" s="21">
        <v>70.099999999999994</v>
      </c>
      <c r="I141" s="21">
        <v>123.67</v>
      </c>
      <c r="J141" s="21">
        <v>8669.27</v>
      </c>
      <c r="K141" s="21">
        <f t="shared" si="10"/>
        <v>0</v>
      </c>
      <c r="L141" s="20"/>
      <c r="M141" s="49"/>
    </row>
    <row r="142" spans="1:13" ht="24" x14ac:dyDescent="0.25">
      <c r="A142" s="19">
        <v>126</v>
      </c>
      <c r="B142" s="19" t="s">
        <v>357</v>
      </c>
      <c r="C142" s="20" t="s">
        <v>358</v>
      </c>
      <c r="D142" s="19" t="s">
        <v>125</v>
      </c>
      <c r="E142" s="21">
        <v>3</v>
      </c>
      <c r="F142" s="21">
        <v>19841.38</v>
      </c>
      <c r="G142" s="21">
        <v>59524.14</v>
      </c>
      <c r="H142" s="21">
        <v>3</v>
      </c>
      <c r="I142" s="21">
        <v>19841.38</v>
      </c>
      <c r="J142" s="21">
        <v>59524.14</v>
      </c>
      <c r="K142" s="21">
        <f t="shared" si="10"/>
        <v>0</v>
      </c>
      <c r="L142" s="20"/>
      <c r="M142" s="49"/>
    </row>
    <row r="143" spans="1:13" x14ac:dyDescent="0.25">
      <c r="A143" s="19">
        <v>127</v>
      </c>
      <c r="B143" s="19" t="s">
        <v>359</v>
      </c>
      <c r="C143" s="20" t="s">
        <v>360</v>
      </c>
      <c r="D143" s="19" t="s">
        <v>8</v>
      </c>
      <c r="E143" s="21">
        <v>165.62</v>
      </c>
      <c r="F143" s="21">
        <v>668.54</v>
      </c>
      <c r="G143" s="21">
        <v>110723.59</v>
      </c>
      <c r="H143" s="21">
        <v>165.62</v>
      </c>
      <c r="I143" s="21">
        <v>668.54</v>
      </c>
      <c r="J143" s="21">
        <v>110723.59</v>
      </c>
      <c r="K143" s="21">
        <f t="shared" si="10"/>
        <v>0</v>
      </c>
      <c r="L143" s="20"/>
      <c r="M143" s="49"/>
    </row>
    <row r="144" spans="1:13" ht="24" x14ac:dyDescent="0.25">
      <c r="A144" s="19">
        <v>128</v>
      </c>
      <c r="B144" s="19" t="s">
        <v>361</v>
      </c>
      <c r="C144" s="20" t="s">
        <v>362</v>
      </c>
      <c r="D144" s="19" t="s">
        <v>4</v>
      </c>
      <c r="E144" s="21">
        <v>70.099999999999994</v>
      </c>
      <c r="F144" s="21">
        <v>108.69</v>
      </c>
      <c r="G144" s="21">
        <v>7619.17</v>
      </c>
      <c r="H144" s="21">
        <v>70.099999999999994</v>
      </c>
      <c r="I144" s="21">
        <v>108.69</v>
      </c>
      <c r="J144" s="21">
        <v>7619.17</v>
      </c>
      <c r="K144" s="21">
        <f t="shared" si="10"/>
        <v>0</v>
      </c>
      <c r="L144" s="20"/>
      <c r="M144" s="49"/>
    </row>
    <row r="145" spans="1:13" ht="24" x14ac:dyDescent="0.25">
      <c r="A145" s="19">
        <v>129</v>
      </c>
      <c r="B145" s="19" t="s">
        <v>363</v>
      </c>
      <c r="C145" s="20" t="s">
        <v>364</v>
      </c>
      <c r="D145" s="19" t="s">
        <v>8</v>
      </c>
      <c r="E145" s="21">
        <v>182.62</v>
      </c>
      <c r="F145" s="21">
        <v>657.96</v>
      </c>
      <c r="G145" s="21">
        <v>120156.66</v>
      </c>
      <c r="H145" s="21">
        <v>182.62</v>
      </c>
      <c r="I145" s="21">
        <v>657.96</v>
      </c>
      <c r="J145" s="21">
        <v>120156.66</v>
      </c>
      <c r="K145" s="21">
        <f t="shared" si="10"/>
        <v>0</v>
      </c>
      <c r="L145" s="20"/>
      <c r="M145" s="49">
        <v>1741020.8999999997</v>
      </c>
    </row>
    <row r="146" spans="1:13" x14ac:dyDescent="0.25">
      <c r="A146" s="18" t="s">
        <v>38</v>
      </c>
      <c r="B146" s="18"/>
      <c r="C146" s="18"/>
      <c r="D146" s="18"/>
      <c r="E146" s="18"/>
      <c r="F146" s="18"/>
      <c r="G146" s="48">
        <f>SUM(G147:G178)</f>
        <v>1796012.98</v>
      </c>
      <c r="H146" s="18"/>
      <c r="I146" s="18"/>
      <c r="J146" s="48">
        <f>SUM(J147:J178)</f>
        <v>1583592.98</v>
      </c>
      <c r="K146" s="18"/>
      <c r="L146" s="18"/>
      <c r="M146" s="49"/>
    </row>
    <row r="147" spans="1:13" ht="36" x14ac:dyDescent="0.25">
      <c r="A147" s="19">
        <v>130</v>
      </c>
      <c r="B147" s="19" t="s">
        <v>365</v>
      </c>
      <c r="C147" s="20" t="s">
        <v>366</v>
      </c>
      <c r="D147" s="19" t="s">
        <v>71</v>
      </c>
      <c r="E147" s="21">
        <v>7.33</v>
      </c>
      <c r="F147" s="21">
        <v>4433.1099999999997</v>
      </c>
      <c r="G147" s="21">
        <v>32494.7</v>
      </c>
      <c r="H147" s="21">
        <v>7.33</v>
      </c>
      <c r="I147" s="21">
        <v>4433.1099999999997</v>
      </c>
      <c r="J147" s="21">
        <v>32494.7</v>
      </c>
      <c r="K147" s="21">
        <f t="shared" ref="K147:K178" si="11">J147-G147</f>
        <v>0</v>
      </c>
      <c r="L147" s="20"/>
      <c r="M147" s="49"/>
    </row>
    <row r="148" spans="1:13" x14ac:dyDescent="0.25">
      <c r="A148" s="19">
        <v>131</v>
      </c>
      <c r="B148" s="19" t="s">
        <v>74</v>
      </c>
      <c r="C148" s="20" t="s">
        <v>75</v>
      </c>
      <c r="D148" s="19" t="s">
        <v>71</v>
      </c>
      <c r="E148" s="21">
        <v>9.5399999999999991</v>
      </c>
      <c r="F148" s="21">
        <v>901.15419999999995</v>
      </c>
      <c r="G148" s="21">
        <v>8597.01</v>
      </c>
      <c r="H148" s="21">
        <v>9.5399999999999991</v>
      </c>
      <c r="I148" s="21">
        <v>901.15419999999995</v>
      </c>
      <c r="J148" s="21">
        <v>8597.01</v>
      </c>
      <c r="K148" s="21">
        <f t="shared" si="11"/>
        <v>0</v>
      </c>
      <c r="L148" s="20"/>
      <c r="M148" s="49"/>
    </row>
    <row r="149" spans="1:13" x14ac:dyDescent="0.25">
      <c r="A149" s="19">
        <v>132</v>
      </c>
      <c r="B149" s="19" t="s">
        <v>367</v>
      </c>
      <c r="C149" s="20" t="s">
        <v>368</v>
      </c>
      <c r="D149" s="19" t="s">
        <v>8</v>
      </c>
      <c r="E149" s="21">
        <v>75</v>
      </c>
      <c r="F149" s="21">
        <v>60.22</v>
      </c>
      <c r="G149" s="21">
        <v>4516.5</v>
      </c>
      <c r="H149" s="21">
        <v>75</v>
      </c>
      <c r="I149" s="21">
        <v>60.22</v>
      </c>
      <c r="J149" s="21">
        <v>4516.5</v>
      </c>
      <c r="K149" s="21">
        <f t="shared" si="11"/>
        <v>0</v>
      </c>
      <c r="L149" s="20"/>
      <c r="M149" s="49"/>
    </row>
    <row r="150" spans="1:13" ht="48" x14ac:dyDescent="0.25">
      <c r="A150" s="19">
        <v>133</v>
      </c>
      <c r="B150" s="19" t="s">
        <v>369</v>
      </c>
      <c r="C150" s="20" t="s">
        <v>370</v>
      </c>
      <c r="D150" s="19" t="s">
        <v>90</v>
      </c>
      <c r="E150" s="21">
        <v>8.34</v>
      </c>
      <c r="F150" s="21">
        <v>3813.63</v>
      </c>
      <c r="G150" s="21">
        <v>31805.67</v>
      </c>
      <c r="H150" s="21">
        <v>8.34</v>
      </c>
      <c r="I150" s="21">
        <v>3813.63</v>
      </c>
      <c r="J150" s="21">
        <v>31805.67</v>
      </c>
      <c r="K150" s="21">
        <f t="shared" si="11"/>
        <v>0</v>
      </c>
      <c r="L150" s="20"/>
      <c r="M150" s="49"/>
    </row>
    <row r="151" spans="1:13" ht="48" x14ac:dyDescent="0.25">
      <c r="A151" s="19">
        <v>134</v>
      </c>
      <c r="B151" s="19" t="s">
        <v>371</v>
      </c>
      <c r="C151" s="20" t="s">
        <v>372</v>
      </c>
      <c r="D151" s="19" t="s">
        <v>90</v>
      </c>
      <c r="E151" s="21">
        <v>7.65</v>
      </c>
      <c r="F151" s="21">
        <v>3429.01</v>
      </c>
      <c r="G151" s="21">
        <v>26231.93</v>
      </c>
      <c r="H151" s="21">
        <v>7.65</v>
      </c>
      <c r="I151" s="21">
        <v>3429.01</v>
      </c>
      <c r="J151" s="21">
        <v>26231.93</v>
      </c>
      <c r="K151" s="21">
        <f t="shared" si="11"/>
        <v>0</v>
      </c>
      <c r="L151" s="20"/>
      <c r="M151" s="49"/>
    </row>
    <row r="152" spans="1:13" ht="36" x14ac:dyDescent="0.25">
      <c r="A152" s="19">
        <v>135</v>
      </c>
      <c r="B152" s="19" t="s">
        <v>373</v>
      </c>
      <c r="C152" s="20" t="s">
        <v>374</v>
      </c>
      <c r="D152" s="19" t="s">
        <v>4</v>
      </c>
      <c r="E152" s="21">
        <v>64.48</v>
      </c>
      <c r="F152" s="21">
        <v>537.37</v>
      </c>
      <c r="G152" s="21">
        <v>34649.620000000003</v>
      </c>
      <c r="H152" s="21">
        <v>64.48</v>
      </c>
      <c r="I152" s="21">
        <v>537.37</v>
      </c>
      <c r="J152" s="21">
        <v>34649.620000000003</v>
      </c>
      <c r="K152" s="21">
        <f t="shared" si="11"/>
        <v>0</v>
      </c>
      <c r="L152" s="20"/>
      <c r="M152" s="49"/>
    </row>
    <row r="153" spans="1:13" ht="24" x14ac:dyDescent="0.25">
      <c r="A153" s="19">
        <v>136</v>
      </c>
      <c r="B153" s="19" t="s">
        <v>375</v>
      </c>
      <c r="C153" s="20" t="s">
        <v>376</v>
      </c>
      <c r="D153" s="19" t="s">
        <v>71</v>
      </c>
      <c r="E153" s="21">
        <v>1.05</v>
      </c>
      <c r="F153" s="21">
        <v>8879.5</v>
      </c>
      <c r="G153" s="21">
        <v>9323.48</v>
      </c>
      <c r="H153" s="21">
        <v>1.05</v>
      </c>
      <c r="I153" s="21">
        <v>8879.5</v>
      </c>
      <c r="J153" s="21">
        <v>9323.48</v>
      </c>
      <c r="K153" s="21">
        <f t="shared" si="11"/>
        <v>0</v>
      </c>
      <c r="L153" s="20"/>
      <c r="M153" s="49"/>
    </row>
    <row r="154" spans="1:13" ht="24" x14ac:dyDescent="0.25">
      <c r="A154" s="19">
        <v>137</v>
      </c>
      <c r="B154" s="19" t="s">
        <v>377</v>
      </c>
      <c r="C154" s="20" t="s">
        <v>378</v>
      </c>
      <c r="D154" s="19" t="s">
        <v>8</v>
      </c>
      <c r="E154" s="21">
        <v>129.37</v>
      </c>
      <c r="F154" s="21">
        <v>1981.38</v>
      </c>
      <c r="G154" s="21">
        <v>256331.13</v>
      </c>
      <c r="H154" s="21">
        <v>129.37</v>
      </c>
      <c r="I154" s="21">
        <v>1981.38</v>
      </c>
      <c r="J154" s="21">
        <v>256331.13</v>
      </c>
      <c r="K154" s="21">
        <f t="shared" si="11"/>
        <v>0</v>
      </c>
      <c r="L154" s="20"/>
      <c r="M154" s="49"/>
    </row>
    <row r="155" spans="1:13" ht="48" x14ac:dyDescent="0.25">
      <c r="A155" s="19">
        <v>138</v>
      </c>
      <c r="B155" s="19" t="s">
        <v>379</v>
      </c>
      <c r="C155" s="20" t="s">
        <v>380</v>
      </c>
      <c r="D155" s="19" t="s">
        <v>71</v>
      </c>
      <c r="E155" s="21">
        <v>6.29</v>
      </c>
      <c r="F155" s="21">
        <v>10158.89</v>
      </c>
      <c r="G155" s="21">
        <v>63899.42</v>
      </c>
      <c r="H155" s="21">
        <v>6.29</v>
      </c>
      <c r="I155" s="21">
        <v>10158.89</v>
      </c>
      <c r="J155" s="21">
        <v>63899.42</v>
      </c>
      <c r="K155" s="21">
        <f t="shared" si="11"/>
        <v>0</v>
      </c>
      <c r="L155" s="20"/>
      <c r="M155" s="49"/>
    </row>
    <row r="156" spans="1:13" ht="48" x14ac:dyDescent="0.25">
      <c r="A156" s="19">
        <v>139</v>
      </c>
      <c r="B156" s="19" t="s">
        <v>381</v>
      </c>
      <c r="C156" s="20" t="s">
        <v>382</v>
      </c>
      <c r="D156" s="19" t="s">
        <v>90</v>
      </c>
      <c r="E156" s="21">
        <v>7.18</v>
      </c>
      <c r="F156" s="21">
        <v>4205.2700000000004</v>
      </c>
      <c r="G156" s="21">
        <v>30193.84</v>
      </c>
      <c r="H156" s="21">
        <v>7.18</v>
      </c>
      <c r="I156" s="21">
        <v>4205.2700000000004</v>
      </c>
      <c r="J156" s="21">
        <v>30193.84</v>
      </c>
      <c r="K156" s="21">
        <f t="shared" si="11"/>
        <v>0</v>
      </c>
      <c r="L156" s="20"/>
      <c r="M156" s="49"/>
    </row>
    <row r="157" spans="1:13" ht="60" x14ac:dyDescent="0.25">
      <c r="A157" s="19">
        <v>140</v>
      </c>
      <c r="B157" s="19" t="s">
        <v>383</v>
      </c>
      <c r="C157" s="20" t="s">
        <v>384</v>
      </c>
      <c r="D157" s="19" t="s">
        <v>71</v>
      </c>
      <c r="E157" s="21">
        <v>6.78</v>
      </c>
      <c r="F157" s="21">
        <v>11245.52</v>
      </c>
      <c r="G157" s="21">
        <v>76244.63</v>
      </c>
      <c r="H157" s="21">
        <v>6.78</v>
      </c>
      <c r="I157" s="21">
        <v>11245.52</v>
      </c>
      <c r="J157" s="21">
        <v>76244.63</v>
      </c>
      <c r="K157" s="21">
        <f t="shared" si="11"/>
        <v>0</v>
      </c>
      <c r="L157" s="20"/>
      <c r="M157" s="49"/>
    </row>
    <row r="158" spans="1:13" ht="24" x14ac:dyDescent="0.25">
      <c r="A158" s="19">
        <v>141</v>
      </c>
      <c r="B158" s="19" t="s">
        <v>385</v>
      </c>
      <c r="C158" s="20" t="s">
        <v>386</v>
      </c>
      <c r="D158" s="19" t="s">
        <v>8</v>
      </c>
      <c r="E158" s="21">
        <v>75.05</v>
      </c>
      <c r="F158" s="21">
        <v>603.44000000000005</v>
      </c>
      <c r="G158" s="21">
        <v>45288.17</v>
      </c>
      <c r="H158" s="21">
        <v>75.05</v>
      </c>
      <c r="I158" s="21">
        <v>603.44000000000005</v>
      </c>
      <c r="J158" s="21">
        <v>45288.17</v>
      </c>
      <c r="K158" s="21">
        <f t="shared" si="11"/>
        <v>0</v>
      </c>
      <c r="L158" s="20"/>
      <c r="M158" s="49"/>
    </row>
    <row r="159" spans="1:13" ht="36" x14ac:dyDescent="0.25">
      <c r="A159" s="19">
        <v>142</v>
      </c>
      <c r="B159" s="19" t="s">
        <v>387</v>
      </c>
      <c r="C159" s="20" t="s">
        <v>388</v>
      </c>
      <c r="D159" s="19" t="s">
        <v>2</v>
      </c>
      <c r="E159" s="21">
        <v>2</v>
      </c>
      <c r="F159" s="21">
        <v>9648.4</v>
      </c>
      <c r="G159" s="21">
        <v>19296.8</v>
      </c>
      <c r="H159" s="21">
        <v>2</v>
      </c>
      <c r="I159" s="21">
        <v>9648.4</v>
      </c>
      <c r="J159" s="21">
        <v>19296.8</v>
      </c>
      <c r="K159" s="21">
        <f t="shared" si="11"/>
        <v>0</v>
      </c>
      <c r="L159" s="20"/>
      <c r="M159" s="49"/>
    </row>
    <row r="160" spans="1:13" ht="48" x14ac:dyDescent="0.25">
      <c r="A160" s="19">
        <v>143</v>
      </c>
      <c r="B160" s="19" t="s">
        <v>389</v>
      </c>
      <c r="C160" s="20" t="s">
        <v>390</v>
      </c>
      <c r="D160" s="19" t="s">
        <v>71</v>
      </c>
      <c r="E160" s="21">
        <v>1</v>
      </c>
      <c r="F160" s="21">
        <v>4433.1099999999997</v>
      </c>
      <c r="G160" s="21">
        <v>4433.1099999999997</v>
      </c>
      <c r="H160" s="21">
        <v>1</v>
      </c>
      <c r="I160" s="21">
        <v>4433.1099999999997</v>
      </c>
      <c r="J160" s="21">
        <v>4433.1099999999997</v>
      </c>
      <c r="K160" s="21">
        <f t="shared" si="11"/>
        <v>0</v>
      </c>
      <c r="L160" s="20"/>
      <c r="M160" s="49"/>
    </row>
    <row r="161" spans="1:13" ht="48" x14ac:dyDescent="0.25">
      <c r="A161" s="19">
        <v>144</v>
      </c>
      <c r="B161" s="19" t="s">
        <v>391</v>
      </c>
      <c r="C161" s="20" t="s">
        <v>392</v>
      </c>
      <c r="D161" s="19" t="s">
        <v>90</v>
      </c>
      <c r="E161" s="21">
        <v>2.2599999999999998</v>
      </c>
      <c r="F161" s="21">
        <v>3837.35</v>
      </c>
      <c r="G161" s="21">
        <v>8672.41</v>
      </c>
      <c r="H161" s="21">
        <v>2.2599999999999998</v>
      </c>
      <c r="I161" s="21">
        <v>3837.35</v>
      </c>
      <c r="J161" s="21">
        <v>8672.41</v>
      </c>
      <c r="K161" s="21">
        <f t="shared" si="11"/>
        <v>0</v>
      </c>
      <c r="L161" s="20"/>
      <c r="M161" s="49"/>
    </row>
    <row r="162" spans="1:13" ht="60" x14ac:dyDescent="0.25">
      <c r="A162" s="19">
        <v>145</v>
      </c>
      <c r="B162" s="19" t="s">
        <v>393</v>
      </c>
      <c r="C162" s="20" t="s">
        <v>394</v>
      </c>
      <c r="D162" s="19" t="s">
        <v>71</v>
      </c>
      <c r="E162" s="21">
        <v>0.2</v>
      </c>
      <c r="F162" s="21">
        <v>9798.76</v>
      </c>
      <c r="G162" s="21">
        <v>1959.75</v>
      </c>
      <c r="H162" s="21">
        <v>0.2</v>
      </c>
      <c r="I162" s="21">
        <v>9798.76</v>
      </c>
      <c r="J162" s="21">
        <v>1959.75</v>
      </c>
      <c r="K162" s="21">
        <f t="shared" si="11"/>
        <v>0</v>
      </c>
      <c r="L162" s="20"/>
      <c r="M162" s="49"/>
    </row>
    <row r="163" spans="1:13" ht="24" x14ac:dyDescent="0.25">
      <c r="A163" s="19">
        <v>146</v>
      </c>
      <c r="B163" s="19" t="s">
        <v>395</v>
      </c>
      <c r="C163" s="20" t="s">
        <v>396</v>
      </c>
      <c r="D163" s="19" t="s">
        <v>8</v>
      </c>
      <c r="E163" s="21">
        <v>1.98</v>
      </c>
      <c r="F163" s="21">
        <v>2089.84</v>
      </c>
      <c r="G163" s="21">
        <v>4137.88</v>
      </c>
      <c r="H163" s="21">
        <v>1.98</v>
      </c>
      <c r="I163" s="21">
        <v>2089.84</v>
      </c>
      <c r="J163" s="21">
        <v>4137.88</v>
      </c>
      <c r="K163" s="21">
        <f t="shared" si="11"/>
        <v>0</v>
      </c>
      <c r="L163" s="20"/>
      <c r="M163" s="49"/>
    </row>
    <row r="164" spans="1:13" ht="24" x14ac:dyDescent="0.25">
      <c r="A164" s="19">
        <v>147</v>
      </c>
      <c r="B164" s="19" t="s">
        <v>397</v>
      </c>
      <c r="C164" s="20" t="s">
        <v>398</v>
      </c>
      <c r="D164" s="19" t="s">
        <v>399</v>
      </c>
      <c r="E164" s="21">
        <v>1</v>
      </c>
      <c r="F164" s="21">
        <v>4598.2</v>
      </c>
      <c r="G164" s="21">
        <v>4598.2</v>
      </c>
      <c r="H164" s="21">
        <v>1</v>
      </c>
      <c r="I164" s="21">
        <v>4598.2</v>
      </c>
      <c r="J164" s="21">
        <v>4598.2</v>
      </c>
      <c r="K164" s="21">
        <f t="shared" si="11"/>
        <v>0</v>
      </c>
      <c r="L164" s="20"/>
      <c r="M164" s="49"/>
    </row>
    <row r="165" spans="1:13" ht="24" x14ac:dyDescent="0.25">
      <c r="A165" s="19">
        <v>148</v>
      </c>
      <c r="B165" s="19" t="s">
        <v>400</v>
      </c>
      <c r="C165" s="20" t="s">
        <v>401</v>
      </c>
      <c r="D165" s="19" t="s">
        <v>8</v>
      </c>
      <c r="E165" s="21">
        <v>3.96</v>
      </c>
      <c r="F165" s="21">
        <v>594.79999999999995</v>
      </c>
      <c r="G165" s="21">
        <v>2355.41</v>
      </c>
      <c r="H165" s="21">
        <v>3.96</v>
      </c>
      <c r="I165" s="21">
        <v>594.79999999999995</v>
      </c>
      <c r="J165" s="21">
        <v>2355.41</v>
      </c>
      <c r="K165" s="21">
        <f t="shared" si="11"/>
        <v>0</v>
      </c>
      <c r="L165" s="20"/>
      <c r="M165" s="49"/>
    </row>
    <row r="166" spans="1:13" ht="24" x14ac:dyDescent="0.25">
      <c r="A166" s="19">
        <v>149</v>
      </c>
      <c r="B166" s="19" t="s">
        <v>402</v>
      </c>
      <c r="C166" s="20" t="s">
        <v>403</v>
      </c>
      <c r="D166" s="19" t="s">
        <v>8</v>
      </c>
      <c r="E166" s="21">
        <v>3.96</v>
      </c>
      <c r="F166" s="21">
        <v>208.29</v>
      </c>
      <c r="G166" s="21">
        <v>824.83</v>
      </c>
      <c r="H166" s="21">
        <v>3.96</v>
      </c>
      <c r="I166" s="21">
        <v>208.29</v>
      </c>
      <c r="J166" s="21">
        <v>824.83</v>
      </c>
      <c r="K166" s="21">
        <f t="shared" si="11"/>
        <v>0</v>
      </c>
      <c r="L166" s="20"/>
      <c r="M166" s="49"/>
    </row>
    <row r="167" spans="1:13" ht="24" x14ac:dyDescent="0.25">
      <c r="A167" s="22">
        <v>150</v>
      </c>
      <c r="B167" s="22" t="s">
        <v>404</v>
      </c>
      <c r="C167" s="23" t="s">
        <v>405</v>
      </c>
      <c r="D167" s="22" t="s">
        <v>406</v>
      </c>
      <c r="E167" s="24">
        <v>1</v>
      </c>
      <c r="F167" s="24">
        <v>820100</v>
      </c>
      <c r="G167" s="24">
        <v>820100</v>
      </c>
      <c r="H167" s="24">
        <v>1</v>
      </c>
      <c r="I167" s="24">
        <v>688410</v>
      </c>
      <c r="J167" s="24">
        <v>601800</v>
      </c>
      <c r="K167" s="24">
        <f t="shared" si="11"/>
        <v>-218300</v>
      </c>
      <c r="L167" s="23" t="s">
        <v>495</v>
      </c>
      <c r="M167" s="49">
        <v>1670202.9857999999</v>
      </c>
    </row>
    <row r="168" spans="1:13" x14ac:dyDescent="0.25">
      <c r="A168" s="19">
        <v>151</v>
      </c>
      <c r="B168" s="19" t="s">
        <v>407</v>
      </c>
      <c r="C168" s="20" t="s">
        <v>408</v>
      </c>
      <c r="D168" s="19" t="s">
        <v>4</v>
      </c>
      <c r="E168" s="21">
        <v>24.7</v>
      </c>
      <c r="F168" s="21">
        <v>1981.24</v>
      </c>
      <c r="G168" s="21">
        <v>48936.63</v>
      </c>
      <c r="H168" s="21">
        <v>24.7</v>
      </c>
      <c r="I168" s="21">
        <v>1981.24</v>
      </c>
      <c r="J168" s="21">
        <v>48936.63</v>
      </c>
      <c r="K168" s="21">
        <f t="shared" si="11"/>
        <v>0</v>
      </c>
      <c r="L168" s="20"/>
      <c r="M168" s="49"/>
    </row>
    <row r="169" spans="1:13" ht="36" x14ac:dyDescent="0.25">
      <c r="A169" s="19">
        <v>152</v>
      </c>
      <c r="B169" s="19" t="s">
        <v>409</v>
      </c>
      <c r="C169" s="20" t="s">
        <v>410</v>
      </c>
      <c r="D169" s="19" t="s">
        <v>2</v>
      </c>
      <c r="E169" s="21">
        <v>2</v>
      </c>
      <c r="F169" s="21">
        <v>11561.35</v>
      </c>
      <c r="G169" s="21">
        <v>23122.7</v>
      </c>
      <c r="H169" s="21">
        <v>2</v>
      </c>
      <c r="I169" s="21">
        <v>11561.35</v>
      </c>
      <c r="J169" s="21">
        <v>23122.7</v>
      </c>
      <c r="K169" s="21">
        <f t="shared" si="11"/>
        <v>0</v>
      </c>
      <c r="L169" s="20"/>
      <c r="M169" s="49"/>
    </row>
    <row r="170" spans="1:13" ht="24" x14ac:dyDescent="0.25">
      <c r="A170" s="19">
        <v>153</v>
      </c>
      <c r="B170" s="19" t="s">
        <v>411</v>
      </c>
      <c r="C170" s="20" t="s">
        <v>412</v>
      </c>
      <c r="D170" s="19" t="s">
        <v>2</v>
      </c>
      <c r="E170" s="21">
        <v>1</v>
      </c>
      <c r="F170" s="21">
        <v>10903.56</v>
      </c>
      <c r="G170" s="21">
        <v>10903.56</v>
      </c>
      <c r="H170" s="21">
        <v>1</v>
      </c>
      <c r="I170" s="21">
        <v>10903.56</v>
      </c>
      <c r="J170" s="21">
        <v>10903.56</v>
      </c>
      <c r="K170" s="21">
        <f t="shared" si="11"/>
        <v>0</v>
      </c>
      <c r="L170" s="20"/>
      <c r="M170" s="49"/>
    </row>
    <row r="171" spans="1:13" ht="24" x14ac:dyDescent="0.25">
      <c r="A171" s="19">
        <v>154</v>
      </c>
      <c r="B171" s="19" t="s">
        <v>413</v>
      </c>
      <c r="C171" s="20" t="s">
        <v>414</v>
      </c>
      <c r="D171" s="19" t="s">
        <v>2</v>
      </c>
      <c r="E171" s="21">
        <v>6</v>
      </c>
      <c r="F171" s="21">
        <v>6315.92</v>
      </c>
      <c r="G171" s="21">
        <v>37895.519999999997</v>
      </c>
      <c r="H171" s="21">
        <v>6</v>
      </c>
      <c r="I171" s="21">
        <v>6315.92</v>
      </c>
      <c r="J171" s="21">
        <v>37895.519999999997</v>
      </c>
      <c r="K171" s="21">
        <f t="shared" si="11"/>
        <v>0</v>
      </c>
      <c r="L171" s="20"/>
      <c r="M171" s="49"/>
    </row>
    <row r="172" spans="1:13" ht="36" x14ac:dyDescent="0.25">
      <c r="A172" s="19">
        <v>155</v>
      </c>
      <c r="B172" s="19" t="s">
        <v>415</v>
      </c>
      <c r="C172" s="20" t="s">
        <v>416</v>
      </c>
      <c r="D172" s="19" t="s">
        <v>2</v>
      </c>
      <c r="E172" s="21">
        <v>6</v>
      </c>
      <c r="F172" s="21">
        <v>3986.33</v>
      </c>
      <c r="G172" s="21">
        <v>23917.98</v>
      </c>
      <c r="H172" s="21">
        <v>6</v>
      </c>
      <c r="I172" s="21">
        <v>3986.33</v>
      </c>
      <c r="J172" s="21">
        <v>23917.98</v>
      </c>
      <c r="K172" s="21">
        <f t="shared" si="11"/>
        <v>0</v>
      </c>
      <c r="L172" s="20"/>
      <c r="M172" s="49"/>
    </row>
    <row r="173" spans="1:13" ht="24" x14ac:dyDescent="0.25">
      <c r="A173" s="19">
        <v>156</v>
      </c>
      <c r="B173" s="19" t="s">
        <v>417</v>
      </c>
      <c r="C173" s="20" t="s">
        <v>418</v>
      </c>
      <c r="D173" s="19" t="s">
        <v>4</v>
      </c>
      <c r="E173" s="21">
        <v>62.29</v>
      </c>
      <c r="F173" s="21">
        <v>84.59</v>
      </c>
      <c r="G173" s="21">
        <v>5269.11</v>
      </c>
      <c r="H173" s="21">
        <v>62.29</v>
      </c>
      <c r="I173" s="21">
        <v>84.59</v>
      </c>
      <c r="J173" s="21">
        <v>5269.11</v>
      </c>
      <c r="K173" s="21">
        <f t="shared" si="11"/>
        <v>0</v>
      </c>
      <c r="L173" s="20"/>
      <c r="M173" s="49"/>
    </row>
    <row r="174" spans="1:13" ht="36" x14ac:dyDescent="0.25">
      <c r="A174" s="19">
        <v>157</v>
      </c>
      <c r="B174" s="19" t="s">
        <v>419</v>
      </c>
      <c r="C174" s="20" t="s">
        <v>420</v>
      </c>
      <c r="D174" s="19" t="s">
        <v>152</v>
      </c>
      <c r="E174" s="21">
        <v>2</v>
      </c>
      <c r="F174" s="21">
        <v>1833.87</v>
      </c>
      <c r="G174" s="21">
        <v>3667.74</v>
      </c>
      <c r="H174" s="21">
        <v>2</v>
      </c>
      <c r="I174" s="21">
        <v>1833.87</v>
      </c>
      <c r="J174" s="21">
        <v>3667.74</v>
      </c>
      <c r="K174" s="21">
        <f t="shared" si="11"/>
        <v>0</v>
      </c>
      <c r="L174" s="20"/>
      <c r="M174" s="49"/>
    </row>
    <row r="175" spans="1:13" x14ac:dyDescent="0.25">
      <c r="A175" s="19">
        <v>158</v>
      </c>
      <c r="B175" s="19" t="s">
        <v>421</v>
      </c>
      <c r="C175" s="20" t="s">
        <v>422</v>
      </c>
      <c r="D175" s="19" t="s">
        <v>399</v>
      </c>
      <c r="E175" s="21">
        <v>6</v>
      </c>
      <c r="F175" s="21">
        <v>23795.02</v>
      </c>
      <c r="G175" s="21">
        <v>142770.12</v>
      </c>
      <c r="H175" s="21">
        <v>6</v>
      </c>
      <c r="I175" s="21">
        <v>23795.02</v>
      </c>
      <c r="J175" s="21">
        <v>142770.12</v>
      </c>
      <c r="K175" s="21">
        <f t="shared" si="11"/>
        <v>0</v>
      </c>
      <c r="L175" s="20"/>
      <c r="M175" s="49"/>
    </row>
    <row r="176" spans="1:13" ht="36" x14ac:dyDescent="0.25">
      <c r="A176" s="19">
        <v>159</v>
      </c>
      <c r="B176" s="19" t="s">
        <v>423</v>
      </c>
      <c r="C176" s="20" t="s">
        <v>424</v>
      </c>
      <c r="D176" s="19" t="s">
        <v>2</v>
      </c>
      <c r="E176" s="21">
        <v>1</v>
      </c>
      <c r="F176" s="21">
        <v>1325.89</v>
      </c>
      <c r="G176" s="21">
        <v>1325.89</v>
      </c>
      <c r="H176" s="21">
        <v>1</v>
      </c>
      <c r="I176" s="21">
        <v>1325.89</v>
      </c>
      <c r="J176" s="21">
        <v>1325.89</v>
      </c>
      <c r="K176" s="21">
        <f t="shared" si="11"/>
        <v>0</v>
      </c>
      <c r="L176" s="20"/>
      <c r="M176" s="49"/>
    </row>
    <row r="177" spans="1:13" ht="36" x14ac:dyDescent="0.25">
      <c r="A177" s="19">
        <v>160</v>
      </c>
      <c r="B177" s="19" t="s">
        <v>425</v>
      </c>
      <c r="C177" s="20" t="s">
        <v>426</v>
      </c>
      <c r="D177" s="19" t="s">
        <v>2</v>
      </c>
      <c r="E177" s="21">
        <v>6</v>
      </c>
      <c r="F177" s="21">
        <v>564.22</v>
      </c>
      <c r="G177" s="21">
        <v>3385.32</v>
      </c>
      <c r="H177" s="21">
        <v>6</v>
      </c>
      <c r="I177" s="21">
        <v>564.22</v>
      </c>
      <c r="J177" s="21">
        <v>3385.32</v>
      </c>
      <c r="K177" s="21">
        <f t="shared" si="11"/>
        <v>0</v>
      </c>
      <c r="L177" s="20"/>
      <c r="M177" s="49"/>
    </row>
    <row r="178" spans="1:13" ht="24" x14ac:dyDescent="0.25">
      <c r="A178" s="22">
        <v>161</v>
      </c>
      <c r="B178" s="22" t="s">
        <v>427</v>
      </c>
      <c r="C178" s="23" t="s">
        <v>428</v>
      </c>
      <c r="D178" s="22" t="s">
        <v>152</v>
      </c>
      <c r="E178" s="24">
        <v>24</v>
      </c>
      <c r="F178" s="24">
        <v>369.33</v>
      </c>
      <c r="G178" s="24">
        <v>8863.92</v>
      </c>
      <c r="H178" s="24">
        <v>24</v>
      </c>
      <c r="I178" s="24">
        <v>614.33000000000004</v>
      </c>
      <c r="J178" s="24">
        <v>14743.92</v>
      </c>
      <c r="K178" s="24">
        <f t="shared" si="11"/>
        <v>5880</v>
      </c>
      <c r="L178" s="23" t="s">
        <v>429</v>
      </c>
      <c r="M178" s="49"/>
    </row>
    <row r="179" spans="1:13" x14ac:dyDescent="0.25">
      <c r="A179" s="18" t="s">
        <v>35</v>
      </c>
      <c r="B179" s="18"/>
      <c r="C179" s="18"/>
      <c r="D179" s="18"/>
      <c r="E179" s="18"/>
      <c r="F179" s="18"/>
      <c r="G179" s="48">
        <f>SUM(G180:G182)</f>
        <v>173990.77000000002</v>
      </c>
      <c r="H179" s="18"/>
      <c r="I179" s="18"/>
      <c r="J179" s="48">
        <f>SUM(J180:J182)</f>
        <v>173990.77000000002</v>
      </c>
      <c r="K179" s="18"/>
      <c r="L179" s="18"/>
      <c r="M179" s="49"/>
    </row>
    <row r="180" spans="1:13" x14ac:dyDescent="0.25">
      <c r="A180" s="19">
        <v>162</v>
      </c>
      <c r="B180" s="19" t="s">
        <v>430</v>
      </c>
      <c r="C180" s="20" t="s">
        <v>431</v>
      </c>
      <c r="D180" s="19" t="s">
        <v>4</v>
      </c>
      <c r="E180" s="21">
        <v>62.29</v>
      </c>
      <c r="F180" s="21">
        <v>121</v>
      </c>
      <c r="G180" s="21">
        <v>7537.09</v>
      </c>
      <c r="H180" s="21">
        <v>62.29</v>
      </c>
      <c r="I180" s="21">
        <v>121</v>
      </c>
      <c r="J180" s="21">
        <v>7537.09</v>
      </c>
      <c r="K180" s="21">
        <f>J180-G180</f>
        <v>0</v>
      </c>
      <c r="L180" s="20"/>
      <c r="M180" s="49"/>
    </row>
    <row r="181" spans="1:13" x14ac:dyDescent="0.25">
      <c r="A181" s="19">
        <v>163</v>
      </c>
      <c r="B181" s="19" t="s">
        <v>432</v>
      </c>
      <c r="C181" s="20" t="s">
        <v>433</v>
      </c>
      <c r="D181" s="19" t="s">
        <v>434</v>
      </c>
      <c r="E181" s="21">
        <v>30</v>
      </c>
      <c r="F181" s="21">
        <v>4129.3900000000003</v>
      </c>
      <c r="G181" s="21">
        <v>123881.7</v>
      </c>
      <c r="H181" s="21">
        <v>30</v>
      </c>
      <c r="I181" s="21">
        <v>4129.3900000000003</v>
      </c>
      <c r="J181" s="21">
        <v>123881.7</v>
      </c>
      <c r="K181" s="21">
        <f>J181-G181</f>
        <v>0</v>
      </c>
      <c r="L181" s="20"/>
      <c r="M181" s="49"/>
    </row>
    <row r="182" spans="1:13" ht="15.75" thickBot="1" x14ac:dyDescent="0.3">
      <c r="A182" s="19">
        <v>164</v>
      </c>
      <c r="B182" s="19" t="s">
        <v>435</v>
      </c>
      <c r="C182" s="20" t="s">
        <v>436</v>
      </c>
      <c r="D182" s="19" t="s">
        <v>149</v>
      </c>
      <c r="E182" s="21">
        <v>6</v>
      </c>
      <c r="F182" s="21">
        <v>7095.33</v>
      </c>
      <c r="G182" s="25">
        <v>42571.98</v>
      </c>
      <c r="H182" s="21">
        <v>6</v>
      </c>
      <c r="I182" s="21">
        <v>7095.33</v>
      </c>
      <c r="J182" s="25">
        <v>42571.98</v>
      </c>
      <c r="K182" s="21">
        <f>J182-G182</f>
        <v>0</v>
      </c>
      <c r="L182" s="20"/>
      <c r="M182" s="49"/>
    </row>
    <row r="183" spans="1:13" ht="15.75" thickBot="1" x14ac:dyDescent="0.3">
      <c r="G183" s="26">
        <f>G5+G25+G40+G49+G53+G68+G70+G83+G92+G107+G116+G128+G146+G179</f>
        <v>19903102.52</v>
      </c>
      <c r="J183" s="26">
        <f>J5+J25+J40+J49+J53+J68+J70+J83+J92+J107+J116+J128+J146+J179</f>
        <v>19963553.135884024</v>
      </c>
      <c r="M183" s="49"/>
    </row>
    <row r="184" spans="1:13" x14ac:dyDescent="0.25">
      <c r="M184" s="49"/>
    </row>
    <row r="185" spans="1:13" x14ac:dyDescent="0.25">
      <c r="M185" s="49"/>
    </row>
    <row r="186" spans="1:13" x14ac:dyDescent="0.25">
      <c r="M186" s="49"/>
    </row>
    <row r="187" spans="1:13" x14ac:dyDescent="0.25">
      <c r="M187" s="49"/>
    </row>
    <row r="188" spans="1:13" x14ac:dyDescent="0.25">
      <c r="M188" s="49"/>
    </row>
    <row r="189" spans="1:13" x14ac:dyDescent="0.25">
      <c r="M189" s="49"/>
    </row>
    <row r="190" spans="1:13" x14ac:dyDescent="0.25">
      <c r="M190" s="49"/>
    </row>
    <row r="191" spans="1:13" x14ac:dyDescent="0.25">
      <c r="M191" s="49"/>
    </row>
    <row r="192" spans="1:13" x14ac:dyDescent="0.25">
      <c r="M192" s="49"/>
    </row>
    <row r="193" spans="13:13" x14ac:dyDescent="0.25">
      <c r="M193" s="49"/>
    </row>
    <row r="194" spans="13:13" x14ac:dyDescent="0.25">
      <c r="M194" s="49"/>
    </row>
    <row r="195" spans="13:13" x14ac:dyDescent="0.25">
      <c r="M195" s="49"/>
    </row>
    <row r="196" spans="13:13" x14ac:dyDescent="0.25">
      <c r="M196" s="49"/>
    </row>
    <row r="197" spans="13:13" x14ac:dyDescent="0.25">
      <c r="M197" s="49"/>
    </row>
    <row r="198" spans="13:13" x14ac:dyDescent="0.25">
      <c r="M198" s="49"/>
    </row>
    <row r="199" spans="13:13" x14ac:dyDescent="0.25">
      <c r="M199" s="49"/>
    </row>
    <row r="200" spans="13:13" x14ac:dyDescent="0.25">
      <c r="M200" s="49"/>
    </row>
    <row r="201" spans="13:13" x14ac:dyDescent="0.25">
      <c r="M201" s="49"/>
    </row>
    <row r="202" spans="13:13" x14ac:dyDescent="0.25">
      <c r="M202" s="49"/>
    </row>
    <row r="203" spans="13:13" x14ac:dyDescent="0.25">
      <c r="M203" s="49"/>
    </row>
    <row r="204" spans="13:13" x14ac:dyDescent="0.25">
      <c r="M204" s="49"/>
    </row>
    <row r="205" spans="13:13" x14ac:dyDescent="0.25">
      <c r="M205" s="49"/>
    </row>
    <row r="206" spans="13:13" x14ac:dyDescent="0.25">
      <c r="M206" s="49"/>
    </row>
    <row r="207" spans="13:13" x14ac:dyDescent="0.25">
      <c r="M207" s="49"/>
    </row>
    <row r="208" spans="13:13" x14ac:dyDescent="0.25">
      <c r="M208" s="49"/>
    </row>
    <row r="209" spans="13:13" x14ac:dyDescent="0.25">
      <c r="M209" s="49"/>
    </row>
    <row r="210" spans="13:13" x14ac:dyDescent="0.25">
      <c r="M210" s="49"/>
    </row>
    <row r="211" spans="13:13" x14ac:dyDescent="0.25">
      <c r="M211" s="49">
        <v>173990.77000000002</v>
      </c>
    </row>
    <row r="212" spans="13:13" x14ac:dyDescent="0.25">
      <c r="M212" s="49"/>
    </row>
    <row r="213" spans="13:13" x14ac:dyDescent="0.25">
      <c r="M213" s="49"/>
    </row>
    <row r="214" spans="13:13" x14ac:dyDescent="0.25">
      <c r="M214" s="49"/>
    </row>
    <row r="215" spans="13:13" x14ac:dyDescent="0.25">
      <c r="M215" s="49"/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2A5A-D7D5-4F00-80DA-F3F23B72F73D}">
  <sheetPr>
    <tabColor theme="8" tint="0.59999389629810485"/>
  </sheetPr>
  <dimension ref="A1:AH39"/>
  <sheetViews>
    <sheetView showGridLines="0" tabSelected="1" zoomScaleNormal="100" workbookViewId="0">
      <selection activeCell="E8" sqref="E8"/>
    </sheetView>
  </sheetViews>
  <sheetFormatPr baseColWidth="10" defaultColWidth="7.625" defaultRowHeight="15" x14ac:dyDescent="0.25"/>
  <cols>
    <col min="1" max="1" width="40.125" style="1" customWidth="1"/>
    <col min="2" max="2" width="19.25" style="1" customWidth="1"/>
    <col min="3" max="3" width="21" style="1" customWidth="1"/>
    <col min="4" max="4" width="15.75" style="1" customWidth="1"/>
    <col min="5" max="5" width="14" style="1" customWidth="1"/>
    <col min="6" max="6" width="43.125" style="1" customWidth="1"/>
    <col min="7" max="33" width="7.625" style="1"/>
    <col min="34" max="34" width="12.5" style="1" customWidth="1"/>
    <col min="35" max="16384" width="7.625" style="1"/>
  </cols>
  <sheetData>
    <row r="1" spans="1:34" ht="27.75" customHeight="1" thickBot="1" x14ac:dyDescent="0.3">
      <c r="A1" s="54" t="s">
        <v>49</v>
      </c>
      <c r="B1" s="54"/>
      <c r="C1" s="54"/>
      <c r="D1" s="54"/>
      <c r="E1" s="54"/>
      <c r="F1" s="54"/>
    </row>
    <row r="2" spans="1:34" ht="15.75" customHeight="1" thickBot="1" x14ac:dyDescent="0.3">
      <c r="G2" s="50" t="s">
        <v>438</v>
      </c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2"/>
    </row>
    <row r="3" spans="1:34" ht="30" customHeight="1" x14ac:dyDescent="0.25">
      <c r="A3" s="3" t="s">
        <v>14</v>
      </c>
      <c r="B3" s="3" t="s">
        <v>15</v>
      </c>
      <c r="C3" s="3" t="s">
        <v>16</v>
      </c>
      <c r="D3" s="3" t="s">
        <v>1</v>
      </c>
      <c r="E3" s="3" t="s">
        <v>17</v>
      </c>
      <c r="F3" s="3" t="s">
        <v>18</v>
      </c>
      <c r="G3" s="42" t="s">
        <v>439</v>
      </c>
      <c r="H3" s="43" t="s">
        <v>440</v>
      </c>
      <c r="I3" s="43" t="s">
        <v>441</v>
      </c>
      <c r="J3" s="43" t="s">
        <v>442</v>
      </c>
      <c r="K3" s="43" t="s">
        <v>443</v>
      </c>
      <c r="L3" s="43" t="s">
        <v>444</v>
      </c>
      <c r="M3" s="43" t="s">
        <v>445</v>
      </c>
      <c r="N3" s="43" t="s">
        <v>446</v>
      </c>
      <c r="O3" s="43" t="s">
        <v>447</v>
      </c>
      <c r="P3" s="43" t="s">
        <v>448</v>
      </c>
      <c r="Q3" s="43" t="s">
        <v>449</v>
      </c>
      <c r="R3" s="43" t="s">
        <v>450</v>
      </c>
      <c r="S3" s="43" t="s">
        <v>451</v>
      </c>
      <c r="T3" s="43" t="s">
        <v>452</v>
      </c>
      <c r="U3" s="43" t="s">
        <v>453</v>
      </c>
      <c r="V3" s="43" t="s">
        <v>454</v>
      </c>
      <c r="W3" s="43" t="s">
        <v>455</v>
      </c>
      <c r="X3" s="43" t="s">
        <v>456</v>
      </c>
      <c r="Y3" s="43" t="s">
        <v>463</v>
      </c>
      <c r="Z3" s="43" t="s">
        <v>458</v>
      </c>
      <c r="AA3" s="43" t="s">
        <v>459</v>
      </c>
      <c r="AB3" s="43" t="s">
        <v>460</v>
      </c>
      <c r="AC3" s="43" t="s">
        <v>461</v>
      </c>
      <c r="AD3" s="43" t="s">
        <v>462</v>
      </c>
      <c r="AE3" s="43" t="s">
        <v>457</v>
      </c>
      <c r="AF3" s="43" t="s">
        <v>464</v>
      </c>
      <c r="AG3" s="43" t="s">
        <v>0</v>
      </c>
      <c r="AH3" s="44"/>
    </row>
    <row r="4" spans="1:34" x14ac:dyDescent="0.25">
      <c r="A4" s="4" t="s">
        <v>19</v>
      </c>
      <c r="B4" s="5">
        <v>2049569.74</v>
      </c>
      <c r="C4" s="5">
        <v>2400730.3326599998</v>
      </c>
      <c r="D4" s="6">
        <f t="shared" ref="D4:D27" si="0">C4-B4</f>
        <v>351160.59265999985</v>
      </c>
      <c r="E4" s="7">
        <f>D4/B4</f>
        <v>0.1713338101195814</v>
      </c>
      <c r="F4" s="4" t="s">
        <v>20</v>
      </c>
      <c r="G4" s="29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f>SUM(G4:AF4)</f>
        <v>26</v>
      </c>
      <c r="AH4" s="30">
        <f t="shared" ref="AH4:AH10" si="1">D4*AG4</f>
        <v>9130175.4091599956</v>
      </c>
    </row>
    <row r="5" spans="1:34" x14ac:dyDescent="0.25">
      <c r="A5" s="4" t="s">
        <v>13</v>
      </c>
      <c r="B5" s="5">
        <v>823373.5</v>
      </c>
      <c r="C5" s="5">
        <v>928242.17520000006</v>
      </c>
      <c r="D5" s="6">
        <f t="shared" si="0"/>
        <v>104868.67520000006</v>
      </c>
      <c r="E5" s="7">
        <f t="shared" ref="E5:E28" si="2">D5/B5</f>
        <v>0.12736464702835354</v>
      </c>
      <c r="F5" s="4" t="s">
        <v>20</v>
      </c>
      <c r="G5" s="29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1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f>SUM(G5:AF5)</f>
        <v>26</v>
      </c>
      <c r="AH5" s="30">
        <f t="shared" si="1"/>
        <v>2726585.5552000012</v>
      </c>
    </row>
    <row r="6" spans="1:34" x14ac:dyDescent="0.25">
      <c r="A6" s="4" t="s">
        <v>21</v>
      </c>
      <c r="B6" s="5">
        <v>1387237.51</v>
      </c>
      <c r="C6" s="5">
        <v>1475727.83</v>
      </c>
      <c r="D6" s="6">
        <f t="shared" si="0"/>
        <v>88490.320000000065</v>
      </c>
      <c r="E6" s="7">
        <f t="shared" si="2"/>
        <v>6.3788874912991692E-2</v>
      </c>
      <c r="F6" s="4" t="s">
        <v>22</v>
      </c>
      <c r="G6" s="29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>
        <v>1</v>
      </c>
      <c r="W6" s="2">
        <v>1</v>
      </c>
      <c r="X6" s="2">
        <v>1</v>
      </c>
      <c r="Y6" s="2">
        <v>1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f>SUM(G6:AF6)</f>
        <v>11</v>
      </c>
      <c r="AH6" s="30">
        <f t="shared" si="1"/>
        <v>973393.52000000072</v>
      </c>
    </row>
    <row r="7" spans="1:34" x14ac:dyDescent="0.25">
      <c r="A7" s="4" t="s">
        <v>23</v>
      </c>
      <c r="B7" s="5">
        <v>1387881.08</v>
      </c>
      <c r="C7" s="5">
        <v>1392513.90307003</v>
      </c>
      <c r="D7" s="6">
        <f t="shared" si="0"/>
        <v>4632.8230700299609</v>
      </c>
      <c r="E7" s="7">
        <f t="shared" si="2"/>
        <v>3.3380547777407273E-3</v>
      </c>
      <c r="F7" s="4" t="s">
        <v>24</v>
      </c>
      <c r="G7" s="29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1</v>
      </c>
      <c r="AB7" s="2">
        <v>1</v>
      </c>
      <c r="AC7" s="2">
        <v>1</v>
      </c>
      <c r="AD7" s="2">
        <v>1</v>
      </c>
      <c r="AE7" s="2">
        <v>1</v>
      </c>
      <c r="AF7" s="2">
        <v>1</v>
      </c>
      <c r="AG7" s="2">
        <f t="shared" ref="AG7:AG27" si="3">SUM(G7:AF7)</f>
        <v>26</v>
      </c>
      <c r="AH7" s="30">
        <f t="shared" si="1"/>
        <v>120453.39982077898</v>
      </c>
    </row>
    <row r="8" spans="1:34" x14ac:dyDescent="0.25">
      <c r="A8" s="4" t="s">
        <v>25</v>
      </c>
      <c r="B8" s="5">
        <v>4310739.0199999996</v>
      </c>
      <c r="C8" s="5">
        <v>4452077.4400000004</v>
      </c>
      <c r="D8" s="6">
        <f t="shared" si="0"/>
        <v>141338.42000000086</v>
      </c>
      <c r="E8" s="7">
        <f t="shared" si="2"/>
        <v>3.2787514935200338E-2</v>
      </c>
      <c r="F8" s="4" t="s">
        <v>26</v>
      </c>
      <c r="G8" s="29"/>
      <c r="H8" s="2"/>
      <c r="I8" s="2"/>
      <c r="J8" s="2"/>
      <c r="K8" s="2"/>
      <c r="L8" s="2"/>
      <c r="M8" s="2"/>
      <c r="N8" s="2"/>
      <c r="O8" s="2"/>
      <c r="P8" s="2"/>
      <c r="Q8" s="2"/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1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f t="shared" si="3"/>
        <v>15</v>
      </c>
      <c r="AH8" s="30">
        <f t="shared" si="1"/>
        <v>2120076.3000000129</v>
      </c>
    </row>
    <row r="9" spans="1:34" x14ac:dyDescent="0.25">
      <c r="A9" s="4" t="s">
        <v>27</v>
      </c>
      <c r="B9" s="5">
        <v>1034844.83</v>
      </c>
      <c r="C9" s="5">
        <v>1042573.18</v>
      </c>
      <c r="D9" s="6">
        <f t="shared" si="0"/>
        <v>7728.3500000000931</v>
      </c>
      <c r="E9" s="7">
        <f t="shared" si="2"/>
        <v>7.4681244723424798E-3</v>
      </c>
      <c r="F9" s="4" t="s">
        <v>24</v>
      </c>
      <c r="G9" s="29"/>
      <c r="H9" s="2"/>
      <c r="I9" s="2"/>
      <c r="J9" s="2"/>
      <c r="K9" s="2"/>
      <c r="L9" s="2"/>
      <c r="M9" s="2"/>
      <c r="N9" s="2"/>
      <c r="O9" s="2"/>
      <c r="P9" s="2"/>
      <c r="Q9" s="2"/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f t="shared" si="3"/>
        <v>15</v>
      </c>
      <c r="AH9" s="30">
        <f t="shared" si="1"/>
        <v>115925.2500000014</v>
      </c>
    </row>
    <row r="10" spans="1:34" x14ac:dyDescent="0.25">
      <c r="A10" s="4" t="s">
        <v>471</v>
      </c>
      <c r="B10" s="5">
        <f>'DETALLE PRESUPUESTO POR PARTIDA'!Q41</f>
        <v>414331.38</v>
      </c>
      <c r="C10" s="5">
        <f>'DETALLE PRESUPUESTO POR PARTIDA'!R41</f>
        <v>404870.58</v>
      </c>
      <c r="D10" s="6">
        <f t="shared" si="0"/>
        <v>-9460.7999999999884</v>
      </c>
      <c r="E10" s="7">
        <f t="shared" si="2"/>
        <v>-2.2833896867767989E-2</v>
      </c>
      <c r="F10" s="4" t="s">
        <v>29</v>
      </c>
      <c r="G10" s="2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>
        <f t="shared" si="3"/>
        <v>0</v>
      </c>
      <c r="AH10" s="30">
        <f t="shared" si="1"/>
        <v>0</v>
      </c>
    </row>
    <row r="11" spans="1:34" x14ac:dyDescent="0.25">
      <c r="A11" s="4" t="s">
        <v>466</v>
      </c>
      <c r="B11" s="5">
        <f>'DETALLE PRESUPUESTO POR PARTIDA'!Q42</f>
        <v>446487.45999999996</v>
      </c>
      <c r="C11" s="5">
        <f>'DETALLE PRESUPUESTO POR PARTIDA'!R42</f>
        <v>446487.45999999996</v>
      </c>
      <c r="D11" s="6">
        <f t="shared" si="0"/>
        <v>0</v>
      </c>
      <c r="E11" s="7">
        <f t="shared" si="2"/>
        <v>0</v>
      </c>
      <c r="F11" s="4" t="s">
        <v>31</v>
      </c>
      <c r="G11" s="29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30"/>
    </row>
    <row r="12" spans="1:34" x14ac:dyDescent="0.25">
      <c r="A12" s="4" t="s">
        <v>30</v>
      </c>
      <c r="B12" s="5">
        <v>127665.96</v>
      </c>
      <c r="C12" s="5">
        <v>127665.96</v>
      </c>
      <c r="D12" s="6">
        <f t="shared" si="0"/>
        <v>0</v>
      </c>
      <c r="E12" s="7">
        <f t="shared" si="2"/>
        <v>0</v>
      </c>
      <c r="F12" s="4" t="s">
        <v>51</v>
      </c>
      <c r="G12" s="2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>
        <f t="shared" si="3"/>
        <v>0</v>
      </c>
      <c r="AH12" s="30">
        <f>D12*AG12</f>
        <v>0</v>
      </c>
    </row>
    <row r="13" spans="1:34" x14ac:dyDescent="0.25">
      <c r="A13" s="4" t="s">
        <v>32</v>
      </c>
      <c r="B13" s="5">
        <v>558187.35</v>
      </c>
      <c r="C13" s="5">
        <v>558187.35</v>
      </c>
      <c r="D13" s="6">
        <f t="shared" si="0"/>
        <v>0</v>
      </c>
      <c r="E13" s="7">
        <f t="shared" si="2"/>
        <v>0</v>
      </c>
      <c r="F13" s="4" t="s">
        <v>31</v>
      </c>
      <c r="G13" s="2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>
        <f t="shared" si="3"/>
        <v>0</v>
      </c>
      <c r="AH13" s="30">
        <f>D13*AG13</f>
        <v>0</v>
      </c>
    </row>
    <row r="14" spans="1:34" x14ac:dyDescent="0.25">
      <c r="A14" s="4" t="s">
        <v>33</v>
      </c>
      <c r="B14" s="5">
        <v>8849.64</v>
      </c>
      <c r="C14" s="5">
        <v>8849.64</v>
      </c>
      <c r="D14" s="6">
        <f t="shared" si="0"/>
        <v>0</v>
      </c>
      <c r="E14" s="7">
        <f t="shared" si="2"/>
        <v>0</v>
      </c>
      <c r="F14" s="4" t="s">
        <v>31</v>
      </c>
      <c r="G14" s="2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>
        <f t="shared" si="3"/>
        <v>0</v>
      </c>
      <c r="AH14" s="30">
        <f>D14*AG14</f>
        <v>0</v>
      </c>
    </row>
    <row r="15" spans="1:34" x14ac:dyDescent="0.25">
      <c r="A15" s="4" t="s">
        <v>34</v>
      </c>
      <c r="B15" s="5">
        <v>1741020.9</v>
      </c>
      <c r="C15" s="5">
        <v>1741020.9</v>
      </c>
      <c r="D15" s="6">
        <f t="shared" si="0"/>
        <v>0</v>
      </c>
      <c r="E15" s="7">
        <f t="shared" si="2"/>
        <v>0</v>
      </c>
      <c r="F15" s="4" t="s">
        <v>50</v>
      </c>
      <c r="G15" s="2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>
        <f t="shared" si="3"/>
        <v>0</v>
      </c>
      <c r="AH15" s="30">
        <f>D15*AG15</f>
        <v>0</v>
      </c>
    </row>
    <row r="16" spans="1:34" x14ac:dyDescent="0.25">
      <c r="A16" s="4" t="s">
        <v>35</v>
      </c>
      <c r="B16" s="5">
        <v>173990.77</v>
      </c>
      <c r="C16" s="5">
        <v>173990.77</v>
      </c>
      <c r="D16" s="6">
        <f t="shared" si="0"/>
        <v>0</v>
      </c>
      <c r="E16" s="7">
        <f t="shared" si="2"/>
        <v>0</v>
      </c>
      <c r="F16" s="4" t="s">
        <v>31</v>
      </c>
      <c r="G16" s="2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>
        <f t="shared" si="3"/>
        <v>0</v>
      </c>
      <c r="AH16" s="30">
        <f>D16*AG16</f>
        <v>0</v>
      </c>
    </row>
    <row r="17" spans="1:34" x14ac:dyDescent="0.25">
      <c r="A17" s="4" t="s">
        <v>478</v>
      </c>
      <c r="B17" s="5">
        <f>'DETALLE PRESUPUESTO POR PARTIDA'!G93</f>
        <v>163656.17000000001</v>
      </c>
      <c r="C17" s="5">
        <f>'DETALLE PRESUPUESTO POR PARTIDA'!J93</f>
        <v>163656.16960000002</v>
      </c>
      <c r="D17" s="6"/>
      <c r="E17" s="7"/>
      <c r="F17" s="4" t="s">
        <v>31</v>
      </c>
      <c r="G17" s="2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30"/>
    </row>
    <row r="18" spans="1:34" x14ac:dyDescent="0.25">
      <c r="A18" s="4" t="s">
        <v>481</v>
      </c>
      <c r="B18" s="5">
        <f>'DETALLE PRESUPUESTO POR PARTIDA'!P92</f>
        <v>1167000.92</v>
      </c>
      <c r="C18" s="5">
        <f>'DETALLE PRESUPUESTO POR PARTIDA'!Q92</f>
        <v>955856.86102800001</v>
      </c>
      <c r="D18" s="6">
        <f t="shared" si="0"/>
        <v>-211144.05897199991</v>
      </c>
      <c r="E18" s="7">
        <f t="shared" si="2"/>
        <v>-0.18092878536205431</v>
      </c>
      <c r="F18" s="4" t="s">
        <v>487</v>
      </c>
      <c r="G18" s="29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f t="shared" si="3"/>
        <v>26</v>
      </c>
      <c r="AH18" s="30">
        <f t="shared" ref="AH18:AH27" si="4">D18*AG18</f>
        <v>-5489745.5332719982</v>
      </c>
    </row>
    <row r="19" spans="1:34" ht="27.75" customHeight="1" x14ac:dyDescent="0.25">
      <c r="A19" s="4" t="s">
        <v>482</v>
      </c>
      <c r="B19" s="5">
        <f>'DETALLE PRESUPUESTO POR PARTIDA'!P93</f>
        <v>70449.820000000007</v>
      </c>
      <c r="C19" s="5">
        <f>'DETALLE PRESUPUESTO POR PARTIDA'!Q93</f>
        <v>75242.641650000005</v>
      </c>
      <c r="D19" s="6">
        <f t="shared" si="0"/>
        <v>4792.821649999998</v>
      </c>
      <c r="E19" s="7">
        <f t="shared" si="2"/>
        <v>6.8031708952556558E-2</v>
      </c>
      <c r="F19" s="35" t="s">
        <v>491</v>
      </c>
      <c r="G19" s="29"/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2">
        <v>1</v>
      </c>
      <c r="AF19" s="2">
        <v>1</v>
      </c>
      <c r="AG19" s="2">
        <f t="shared" si="3"/>
        <v>25</v>
      </c>
      <c r="AH19" s="30">
        <f t="shared" si="4"/>
        <v>119820.54124999995</v>
      </c>
    </row>
    <row r="20" spans="1:34" x14ac:dyDescent="0.25">
      <c r="A20" s="4" t="s">
        <v>483</v>
      </c>
      <c r="B20" s="5">
        <f>'DETALLE PRESUPUESTO POR PARTIDA'!P94</f>
        <v>92169.75</v>
      </c>
      <c r="C20" s="5">
        <f>'DETALLE PRESUPUESTO POR PARTIDA'!Q94</f>
        <v>76305.09599999999</v>
      </c>
      <c r="D20" s="6">
        <f t="shared" si="0"/>
        <v>-15864.65400000001</v>
      </c>
      <c r="E20" s="7">
        <f t="shared" si="2"/>
        <v>-0.17212430325567782</v>
      </c>
      <c r="F20" s="4" t="s">
        <v>488</v>
      </c>
      <c r="G20" s="36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37">
        <v>1</v>
      </c>
      <c r="AE20" s="29">
        <v>1</v>
      </c>
      <c r="AF20" s="29">
        <v>1</v>
      </c>
      <c r="AG20" s="2">
        <f t="shared" si="3"/>
        <v>26</v>
      </c>
      <c r="AH20" s="30">
        <f t="shared" si="4"/>
        <v>-412481.00400000025</v>
      </c>
    </row>
    <row r="21" spans="1:34" x14ac:dyDescent="0.25">
      <c r="A21" s="4" t="s">
        <v>484</v>
      </c>
      <c r="B21" s="5">
        <f>'DETALLE PRESUPUESTO POR PARTIDA'!P95</f>
        <v>30502.77</v>
      </c>
      <c r="C21" s="5">
        <f>'DETALLE PRESUPUESTO POR PARTIDA'!Q95</f>
        <v>23760.565763999999</v>
      </c>
      <c r="D21" s="6">
        <f t="shared" si="0"/>
        <v>-6742.2042360000014</v>
      </c>
      <c r="E21" s="7">
        <f t="shared" si="2"/>
        <v>-0.22103580219107974</v>
      </c>
      <c r="F21" s="4" t="s">
        <v>489</v>
      </c>
      <c r="G21" s="36"/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37">
        <v>1</v>
      </c>
      <c r="AE21" s="29">
        <v>1</v>
      </c>
      <c r="AF21" s="29">
        <v>1</v>
      </c>
      <c r="AG21" s="2">
        <f t="shared" si="3"/>
        <v>25</v>
      </c>
      <c r="AH21" s="30">
        <f t="shared" si="4"/>
        <v>-168555.10590000002</v>
      </c>
    </row>
    <row r="22" spans="1:34" x14ac:dyDescent="0.25">
      <c r="A22" s="4" t="s">
        <v>485</v>
      </c>
      <c r="B22" s="5">
        <f>'DETALLE PRESUPUESTO POR PARTIDA'!P96</f>
        <v>342436.18</v>
      </c>
      <c r="C22" s="5">
        <f>'DETALLE PRESUPUESTO POR PARTIDA'!Q96</f>
        <v>324989.57691199996</v>
      </c>
      <c r="D22" s="6">
        <f t="shared" si="0"/>
        <v>-17446.603088000033</v>
      </c>
      <c r="E22" s="7">
        <f t="shared" si="2"/>
        <v>-5.0948480642436886E-2</v>
      </c>
      <c r="F22" s="4" t="s">
        <v>489</v>
      </c>
      <c r="G22" s="29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f t="shared" si="3"/>
        <v>26</v>
      </c>
      <c r="AH22" s="30">
        <f t="shared" si="4"/>
        <v>-453611.68028800085</v>
      </c>
    </row>
    <row r="23" spans="1:34" ht="31.5" customHeight="1" x14ac:dyDescent="0.25">
      <c r="A23" s="4" t="s">
        <v>12</v>
      </c>
      <c r="B23" s="5">
        <f>'DETALLE PRESUPUESTO POR PARTIDA'!P97</f>
        <v>270541.03999999998</v>
      </c>
      <c r="C23" s="5">
        <f>'DETALLE PRESUPUESTO POR PARTIDA'!J104</f>
        <v>372603.924</v>
      </c>
      <c r="D23" s="6">
        <f t="shared" si="0"/>
        <v>102062.88400000002</v>
      </c>
      <c r="E23" s="7">
        <f t="shared" si="2"/>
        <v>0.37725471891436518</v>
      </c>
      <c r="F23" s="35" t="s">
        <v>490</v>
      </c>
      <c r="G23" s="29"/>
      <c r="H23" s="2"/>
      <c r="I23" s="2"/>
      <c r="J23" s="2"/>
      <c r="K23" s="2"/>
      <c r="L23" s="2"/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f t="shared" si="3"/>
        <v>20</v>
      </c>
      <c r="AH23" s="30">
        <f t="shared" si="4"/>
        <v>2041257.6800000004</v>
      </c>
    </row>
    <row r="24" spans="1:34" ht="27.75" customHeight="1" x14ac:dyDescent="0.25">
      <c r="A24" s="4" t="s">
        <v>486</v>
      </c>
      <c r="B24" s="5">
        <f>'DETALLE PRESUPUESTO POR PARTIDA'!G97</f>
        <v>472720.43</v>
      </c>
      <c r="C24" s="5">
        <f>'DETALLE PRESUPUESTO POR PARTIDA'!J97</f>
        <v>326689.99999999994</v>
      </c>
      <c r="D24" s="6">
        <f t="shared" si="0"/>
        <v>-146030.43000000005</v>
      </c>
      <c r="E24" s="7">
        <f t="shared" si="2"/>
        <v>-0.3089149965445751</v>
      </c>
      <c r="F24" s="35" t="s">
        <v>492</v>
      </c>
      <c r="G24" s="29"/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f t="shared" si="3"/>
        <v>25</v>
      </c>
      <c r="AH24" s="30">
        <f t="shared" si="4"/>
        <v>-3650760.7500000014</v>
      </c>
    </row>
    <row r="25" spans="1:34" ht="22.5" customHeight="1" x14ac:dyDescent="0.25">
      <c r="A25" s="4" t="s">
        <v>493</v>
      </c>
      <c r="B25" s="5">
        <f>'DETALLE PRESUPUESTO POR PARTIDA'!G98</f>
        <v>17020.82</v>
      </c>
      <c r="C25" s="5">
        <f>'DETALLE PRESUPUESTO POR PARTIDA'!J98</f>
        <v>0</v>
      </c>
      <c r="D25" s="6">
        <f t="shared" si="0"/>
        <v>-17020.82</v>
      </c>
      <c r="E25" s="7">
        <f t="shared" si="2"/>
        <v>-1</v>
      </c>
      <c r="F25" s="4" t="s">
        <v>494</v>
      </c>
      <c r="G25" s="29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f t="shared" si="3"/>
        <v>26</v>
      </c>
      <c r="AH25" s="30">
        <f t="shared" si="4"/>
        <v>-442541.32</v>
      </c>
    </row>
    <row r="26" spans="1:34" x14ac:dyDescent="0.25">
      <c r="A26" s="4" t="s">
        <v>38</v>
      </c>
      <c r="B26" s="5">
        <v>1796012.98</v>
      </c>
      <c r="C26" s="5">
        <v>1583592.98</v>
      </c>
      <c r="D26" s="6">
        <f t="shared" si="0"/>
        <v>-212420</v>
      </c>
      <c r="E26" s="7">
        <f t="shared" si="2"/>
        <v>-0.11827308731365628</v>
      </c>
      <c r="F26" s="4" t="s">
        <v>37</v>
      </c>
      <c r="G26" s="29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1</v>
      </c>
      <c r="AF26" s="2">
        <v>1</v>
      </c>
      <c r="AG26" s="2">
        <f t="shared" si="3"/>
        <v>26</v>
      </c>
      <c r="AH26" s="30">
        <f t="shared" si="4"/>
        <v>-5522920</v>
      </c>
    </row>
    <row r="27" spans="1:34" ht="15.75" thickBot="1" x14ac:dyDescent="0.3">
      <c r="A27" s="4" t="s">
        <v>39</v>
      </c>
      <c r="B27" s="5">
        <v>1016412.5</v>
      </c>
      <c r="C27" s="5">
        <v>907917.8</v>
      </c>
      <c r="D27" s="6">
        <f t="shared" si="0"/>
        <v>-108494.69999999995</v>
      </c>
      <c r="E27" s="7">
        <f t="shared" si="2"/>
        <v>-0.10674278405666986</v>
      </c>
      <c r="F27" s="4" t="s">
        <v>37</v>
      </c>
      <c r="G27" s="29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f t="shared" si="3"/>
        <v>26</v>
      </c>
      <c r="AH27" s="39">
        <f t="shared" si="4"/>
        <v>-2820862.1999999988</v>
      </c>
    </row>
    <row r="28" spans="1:34" ht="15.75" thickBot="1" x14ac:dyDescent="0.3">
      <c r="A28" s="8" t="s">
        <v>40</v>
      </c>
      <c r="B28" s="9">
        <f>SUM(B4:B27)</f>
        <v>19903102.52</v>
      </c>
      <c r="C28" s="9">
        <f>SUM(C4:C27)</f>
        <v>19963553.135884035</v>
      </c>
      <c r="D28" s="9">
        <f>C28-B28</f>
        <v>60450.615884035826</v>
      </c>
      <c r="E28" s="10">
        <f t="shared" si="2"/>
        <v>3.0372458677380026E-3</v>
      </c>
      <c r="F28" s="11"/>
      <c r="G28" s="2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38"/>
      <c r="AH28" s="41">
        <f>SUM(AH4:AH27)</f>
        <v>-1613789.9380292105</v>
      </c>
    </row>
    <row r="29" spans="1:34" ht="15.75" thickBot="1" x14ac:dyDescent="0.3">
      <c r="G29" s="31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40">
        <f>AH28/B32</f>
        <v>-3.1185511760281207E-3</v>
      </c>
    </row>
    <row r="30" spans="1:34" x14ac:dyDescent="0.25">
      <c r="A30" s="12" t="s">
        <v>41</v>
      </c>
      <c r="B30" s="13">
        <v>38571.904108527102</v>
      </c>
      <c r="C30" s="13">
        <v>38839.690784748098</v>
      </c>
    </row>
    <row r="31" spans="1:34" ht="15.75" thickBot="1" x14ac:dyDescent="0.3">
      <c r="A31" s="14" t="s">
        <v>42</v>
      </c>
      <c r="B31" s="15">
        <f>B28*77</f>
        <v>1532538894.04</v>
      </c>
      <c r="C31" s="15">
        <f>C28*77</f>
        <v>1537193591.4630706</v>
      </c>
      <c r="D31" s="15">
        <f>C31-B31</f>
        <v>4654697.4230706692</v>
      </c>
      <c r="E31" s="16">
        <f>D31/B31</f>
        <v>3.0372458677379445E-3</v>
      </c>
    </row>
    <row r="32" spans="1:34" ht="15.75" thickBot="1" x14ac:dyDescent="0.3">
      <c r="A32" s="14" t="s">
        <v>465</v>
      </c>
      <c r="B32" s="45">
        <f>B28*26</f>
        <v>517480665.51999998</v>
      </c>
      <c r="C32" s="45">
        <f>C28*26</f>
        <v>519052381.53298491</v>
      </c>
      <c r="D32" s="46">
        <f>C32-B32</f>
        <v>1571716.0129849315</v>
      </c>
      <c r="E32" s="47">
        <f>D32/B32</f>
        <v>3.0372458677380026E-3</v>
      </c>
    </row>
    <row r="34" spans="1:6" x14ac:dyDescent="0.25">
      <c r="A34" s="55" t="s">
        <v>43</v>
      </c>
      <c r="B34" s="55"/>
      <c r="C34" s="55"/>
      <c r="D34" s="55"/>
      <c r="E34" s="55"/>
      <c r="F34" s="55"/>
    </row>
    <row r="35" spans="1:6" ht="27.75" customHeight="1" x14ac:dyDescent="0.25">
      <c r="A35" s="53" t="s">
        <v>44</v>
      </c>
      <c r="B35" s="53"/>
      <c r="C35" s="53"/>
      <c r="D35" s="53"/>
      <c r="E35" s="53"/>
      <c r="F35" s="53"/>
    </row>
    <row r="36" spans="1:6" ht="27.75" customHeight="1" x14ac:dyDescent="0.25">
      <c r="A36" s="53" t="s">
        <v>45</v>
      </c>
      <c r="B36" s="53"/>
      <c r="C36" s="53"/>
      <c r="D36" s="53"/>
      <c r="E36" s="53"/>
      <c r="F36" s="53"/>
    </row>
    <row r="37" spans="1:6" ht="27.75" customHeight="1" x14ac:dyDescent="0.25">
      <c r="A37" s="53" t="s">
        <v>46</v>
      </c>
      <c r="B37" s="53"/>
      <c r="C37" s="53"/>
      <c r="D37" s="53"/>
      <c r="E37" s="53"/>
      <c r="F37" s="53"/>
    </row>
    <row r="38" spans="1:6" ht="27.75" customHeight="1" x14ac:dyDescent="0.25">
      <c r="A38" s="53" t="s">
        <v>47</v>
      </c>
      <c r="B38" s="53"/>
      <c r="C38" s="53"/>
      <c r="D38" s="53"/>
      <c r="E38" s="53"/>
      <c r="F38" s="53"/>
    </row>
    <row r="39" spans="1:6" ht="27.75" customHeight="1" x14ac:dyDescent="0.25">
      <c r="A39" s="53" t="s">
        <v>48</v>
      </c>
      <c r="B39" s="53"/>
      <c r="C39" s="53"/>
      <c r="D39" s="53"/>
      <c r="E39" s="53"/>
      <c r="F39" s="53"/>
    </row>
  </sheetData>
  <mergeCells count="8">
    <mergeCell ref="G2:AH2"/>
    <mergeCell ref="A39:F39"/>
    <mergeCell ref="A1:F1"/>
    <mergeCell ref="A34:F34"/>
    <mergeCell ref="A35:F35"/>
    <mergeCell ref="A36:F36"/>
    <mergeCell ref="A37:F37"/>
    <mergeCell ref="A38:F38"/>
  </mergeCells>
  <phoneticPr fontId="1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 PRESUPUESTO POR PARTIDA</vt:lpstr>
      <vt:lpstr>RESUMEN  PRESUPUESTO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Francisco Celis</cp:lastModifiedBy>
  <cp:revision/>
  <dcterms:created xsi:type="dcterms:W3CDTF">2024-08-07T19:25:43Z</dcterms:created>
  <dcterms:modified xsi:type="dcterms:W3CDTF">2026-07-27T22:22:32Z</dcterms:modified>
  <cp:category/>
  <cp:contentStatus/>
</cp:coreProperties>
</file>